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NaverCloud\화랑\"/>
    </mc:Choice>
  </mc:AlternateContent>
  <xr:revisionPtr revIDLastSave="0" documentId="13_ncr:1_{2452D19C-EFD5-48D0-AA88-0BB50BD1B0AA}" xr6:coauthVersionLast="46" xr6:coauthVersionMax="46" xr10:uidLastSave="{00000000-0000-0000-0000-000000000000}"/>
  <bookViews>
    <workbookView xWindow="-24120" yWindow="1455" windowWidth="24240" windowHeight="13140" activeTab="3" xr2:uid="{00000000-000D-0000-FFFF-FFFF00000000}"/>
  </bookViews>
  <sheets>
    <sheet name="자문사 명단" sheetId="1" r:id="rId1"/>
    <sheet name="세금계산서 구분" sheetId="6" r:id="rId2"/>
    <sheet name="계약조건 변경" sheetId="7" r:id="rId3"/>
    <sheet name="2021" sheetId="10" r:id="rId4"/>
    <sheet name="2020 New" sheetId="9" r:id="rId5"/>
    <sheet name="2020" sheetId="8" r:id="rId6"/>
    <sheet name="2019" sheetId="2" r:id="rId7"/>
    <sheet name="2018" sheetId="3" r:id="rId8"/>
    <sheet name="2017" sheetId="4" r:id="rId9"/>
    <sheet name="계약조건" sheetId="5" r:id="rId10"/>
  </sheets>
  <definedNames>
    <definedName name="_xlnm._FilterDatabase" localSheetId="8" hidden="1">'2017'!$A$2:$Y$2</definedName>
    <definedName name="_xlnm._FilterDatabase" localSheetId="7" hidden="1">'2018'!$A$2:$AN$49</definedName>
    <definedName name="_xlnm._FilterDatabase" localSheetId="6" hidden="1">'2019'!$A$2:$AN$47</definedName>
    <definedName name="_xlnm._FilterDatabase" localSheetId="4" hidden="1">'2020 New'!$A$7:$AT$87</definedName>
    <definedName name="_xlnm._FilterDatabase" localSheetId="3" hidden="1">'2021'!$A$7:$AT$84</definedName>
    <definedName name="_xlnm._FilterDatabase" localSheetId="1" hidden="1">'세금계산서 구분'!$B$2:$T$2</definedName>
    <definedName name="_xlnm._FilterDatabase" localSheetId="0" hidden="1">'자문사 명단'!$A$2:$J$53</definedName>
    <definedName name="_xlnm.Print_Area" localSheetId="6">'2019'!$A$1:$AN$49</definedName>
    <definedName name="_xlnm.Print_Area" localSheetId="5">'2020'!$A$1:$X$113</definedName>
    <definedName name="_xlnm.Print_Area" localSheetId="4">'2020 New'!$A$5:$AT$89</definedName>
    <definedName name="_xlnm.Print_Area" localSheetId="3">'2021'!$A$5:$AT$86</definedName>
    <definedName name="_xlnm.Print_Area" localSheetId="9">계약조건!$A$1:$S$28</definedName>
    <definedName name="_xlnm.Print_Area" localSheetId="2">'계약조건 변경'!$A$1:$Z$43</definedName>
    <definedName name="_xlnm.Print_Area" localSheetId="1">'세금계산서 구분'!$A$1:$H$48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M43" i="10" l="1"/>
  <c r="AN43" i="10" s="1"/>
  <c r="I43" i="10"/>
  <c r="J43" i="10" s="1"/>
  <c r="AM57" i="10" l="1"/>
  <c r="AM54" i="10"/>
  <c r="AM55" i="10"/>
  <c r="AM56" i="10"/>
  <c r="AM53" i="10"/>
  <c r="AM22" i="10"/>
  <c r="AN22" i="10" s="1"/>
  <c r="AM16" i="10" l="1"/>
  <c r="AN16" i="10" s="1"/>
  <c r="I16" i="10"/>
  <c r="J16" i="10" s="1"/>
  <c r="AM42" i="10" l="1"/>
  <c r="AN42" i="10" s="1"/>
  <c r="I42" i="10"/>
  <c r="J42" i="10" s="1"/>
  <c r="AM41" i="10" l="1"/>
  <c r="AN41" i="10" s="1"/>
  <c r="I41" i="10"/>
  <c r="J41" i="10" s="1"/>
  <c r="C17" i="7" l="1"/>
  <c r="I22" i="10" l="1"/>
  <c r="J22" i="10" s="1"/>
  <c r="I32" i="10" l="1"/>
  <c r="J32" i="10" s="1"/>
  <c r="AM32" i="10"/>
  <c r="AN32" i="10" s="1"/>
  <c r="H86" i="10" l="1"/>
  <c r="E86" i="10"/>
  <c r="A84" i="10"/>
  <c r="AM63" i="10"/>
  <c r="AN63" i="10" s="1"/>
  <c r="I63" i="10"/>
  <c r="J63" i="10" s="1"/>
  <c r="AM62" i="10"/>
  <c r="AN62" i="10" s="1"/>
  <c r="I62" i="10"/>
  <c r="J62" i="10" s="1"/>
  <c r="AM61" i="10"/>
  <c r="AN61" i="10" s="1"/>
  <c r="I61" i="10"/>
  <c r="J61" i="10" s="1"/>
  <c r="AM60" i="10"/>
  <c r="AN60" i="10" s="1"/>
  <c r="I60" i="10"/>
  <c r="J60" i="10" s="1"/>
  <c r="AM59" i="10"/>
  <c r="AN59" i="10" s="1"/>
  <c r="I59" i="10"/>
  <c r="J59" i="10" s="1"/>
  <c r="AM58" i="10"/>
  <c r="AN58" i="10" s="1"/>
  <c r="I58" i="10"/>
  <c r="J58" i="10" s="1"/>
  <c r="AM52" i="10"/>
  <c r="AN52" i="10" s="1"/>
  <c r="I52" i="10"/>
  <c r="J52" i="10" s="1"/>
  <c r="AM51" i="10"/>
  <c r="AN51" i="10" s="1"/>
  <c r="I51" i="10"/>
  <c r="J51" i="10" s="1"/>
  <c r="AM50" i="10"/>
  <c r="AN50" i="10" s="1"/>
  <c r="I50" i="10"/>
  <c r="J50" i="10" s="1"/>
  <c r="AM49" i="10"/>
  <c r="AN49" i="10" s="1"/>
  <c r="I49" i="10"/>
  <c r="J49" i="10" s="1"/>
  <c r="AM48" i="10"/>
  <c r="AN48" i="10" s="1"/>
  <c r="I48" i="10"/>
  <c r="J48" i="10" s="1"/>
  <c r="AM47" i="10"/>
  <c r="AN47" i="10" s="1"/>
  <c r="I47" i="10"/>
  <c r="J47" i="10" s="1"/>
  <c r="AM46" i="10"/>
  <c r="AN46" i="10" s="1"/>
  <c r="I46" i="10"/>
  <c r="J46" i="10" s="1"/>
  <c r="AM40" i="10"/>
  <c r="AN40" i="10" s="1"/>
  <c r="I40" i="10"/>
  <c r="J40" i="10" s="1"/>
  <c r="AM39" i="10"/>
  <c r="AN39" i="10" s="1"/>
  <c r="I39" i="10"/>
  <c r="J39" i="10" s="1"/>
  <c r="AM38" i="10"/>
  <c r="AN38" i="10" s="1"/>
  <c r="I38" i="10"/>
  <c r="J38" i="10" s="1"/>
  <c r="AM45" i="10"/>
  <c r="AN45" i="10" s="1"/>
  <c r="I45" i="10"/>
  <c r="J45" i="10" s="1"/>
  <c r="AM44" i="10"/>
  <c r="AN44" i="10" s="1"/>
  <c r="I44" i="10"/>
  <c r="J44" i="10" s="1"/>
  <c r="AM37" i="10"/>
  <c r="AN37" i="10" s="1"/>
  <c r="I37" i="10"/>
  <c r="J37" i="10" s="1"/>
  <c r="AM36" i="10"/>
  <c r="AN36" i="10" s="1"/>
  <c r="I36" i="10"/>
  <c r="J36" i="10" s="1"/>
  <c r="AM35" i="10"/>
  <c r="AN35" i="10" s="1"/>
  <c r="I35" i="10"/>
  <c r="J35" i="10" s="1"/>
  <c r="AM34" i="10"/>
  <c r="AN34" i="10" s="1"/>
  <c r="I34" i="10"/>
  <c r="J34" i="10" s="1"/>
  <c r="AM33" i="10"/>
  <c r="AN33" i="10" s="1"/>
  <c r="I33" i="10"/>
  <c r="J33" i="10" s="1"/>
  <c r="AM31" i="10"/>
  <c r="AN31" i="10" s="1"/>
  <c r="I31" i="10"/>
  <c r="J31" i="10" s="1"/>
  <c r="AM30" i="10"/>
  <c r="AN30" i="10" s="1"/>
  <c r="I30" i="10"/>
  <c r="J30" i="10" s="1"/>
  <c r="AM29" i="10"/>
  <c r="AN29" i="10" s="1"/>
  <c r="I29" i="10"/>
  <c r="J29" i="10" s="1"/>
  <c r="AM28" i="10"/>
  <c r="AN28" i="10" s="1"/>
  <c r="I28" i="10"/>
  <c r="J28" i="10" s="1"/>
  <c r="AM27" i="10"/>
  <c r="AN27" i="10" s="1"/>
  <c r="I27" i="10"/>
  <c r="J27" i="10" s="1"/>
  <c r="AM26" i="10"/>
  <c r="AN26" i="10" s="1"/>
  <c r="I26" i="10"/>
  <c r="J26" i="10" s="1"/>
  <c r="AM64" i="10"/>
  <c r="AN64" i="10" s="1"/>
  <c r="AM25" i="10"/>
  <c r="AN25" i="10" s="1"/>
  <c r="I25" i="10"/>
  <c r="J25" i="10" s="1"/>
  <c r="AM24" i="10"/>
  <c r="AN24" i="10" s="1"/>
  <c r="I24" i="10"/>
  <c r="J24" i="10" s="1"/>
  <c r="AM23" i="10"/>
  <c r="AN23" i="10" s="1"/>
  <c r="I23" i="10"/>
  <c r="J23" i="10" s="1"/>
  <c r="AM21" i="10"/>
  <c r="AN21" i="10" s="1"/>
  <c r="I21" i="10"/>
  <c r="J21" i="10" s="1"/>
  <c r="AM20" i="10"/>
  <c r="AN20" i="10" s="1"/>
  <c r="I20" i="10"/>
  <c r="J20" i="10" s="1"/>
  <c r="AM19" i="10"/>
  <c r="AN19" i="10" s="1"/>
  <c r="I19" i="10"/>
  <c r="J19" i="10" s="1"/>
  <c r="AM18" i="10"/>
  <c r="AN18" i="10" s="1"/>
  <c r="I18" i="10"/>
  <c r="J18" i="10" s="1"/>
  <c r="AM17" i="10"/>
  <c r="AN17" i="10" s="1"/>
  <c r="I17" i="10"/>
  <c r="J17" i="10" s="1"/>
  <c r="AM15" i="10"/>
  <c r="AN15" i="10" s="1"/>
  <c r="I15" i="10"/>
  <c r="J15" i="10" s="1"/>
  <c r="AM14" i="10"/>
  <c r="AN14" i="10" s="1"/>
  <c r="I14" i="10"/>
  <c r="J14" i="10" s="1"/>
  <c r="AM13" i="10"/>
  <c r="AN13" i="10" s="1"/>
  <c r="I13" i="10"/>
  <c r="J13" i="10" s="1"/>
  <c r="AM12" i="10"/>
  <c r="AN12" i="10" s="1"/>
  <c r="I12" i="10"/>
  <c r="J12" i="10" s="1"/>
  <c r="AM11" i="10"/>
  <c r="AN11" i="10" s="1"/>
  <c r="I11" i="10"/>
  <c r="J11" i="10" s="1"/>
  <c r="AM10" i="10"/>
  <c r="AN10" i="10" s="1"/>
  <c r="I10" i="10"/>
  <c r="J10" i="10" s="1"/>
  <c r="AM9" i="10"/>
  <c r="AN9" i="10" s="1"/>
  <c r="I9" i="10"/>
  <c r="J9" i="10" s="1"/>
  <c r="AM8" i="10"/>
  <c r="AN8" i="10" s="1"/>
  <c r="I8" i="10"/>
  <c r="J8" i="10" s="1"/>
  <c r="W6" i="10"/>
  <c r="Y6" i="10" s="1"/>
  <c r="AA6" i="10" s="1"/>
  <c r="AC6" i="10" s="1"/>
  <c r="AE6" i="10" s="1"/>
  <c r="AG6" i="10" s="1"/>
  <c r="AI6" i="10" s="1"/>
  <c r="AK6" i="10" s="1"/>
  <c r="Q6" i="10"/>
  <c r="S6" i="10" s="1"/>
  <c r="U6" i="10" s="1"/>
  <c r="J86" i="10" l="1"/>
  <c r="I86" i="10"/>
  <c r="AM54" i="9"/>
  <c r="AM47" i="9"/>
  <c r="AM57" i="9"/>
  <c r="AM58" i="9"/>
  <c r="AM59" i="9"/>
  <c r="AM60" i="9"/>
  <c r="AM61" i="9"/>
  <c r="AM62" i="9"/>
  <c r="I47" i="9"/>
  <c r="J47" i="9" s="1"/>
  <c r="AM31" i="9" l="1"/>
  <c r="I31" i="9"/>
  <c r="J31" i="9" s="1"/>
  <c r="I9" i="9" l="1"/>
  <c r="J9" i="9" s="1"/>
  <c r="I10" i="9"/>
  <c r="J10" i="9" s="1"/>
  <c r="I11" i="9"/>
  <c r="J11" i="9" s="1"/>
  <c r="I12" i="9"/>
  <c r="J12" i="9" s="1"/>
  <c r="I13" i="9"/>
  <c r="J13" i="9" s="1"/>
  <c r="I14" i="9"/>
  <c r="J14" i="9" s="1"/>
  <c r="I15" i="9"/>
  <c r="J15" i="9" s="1"/>
  <c r="I16" i="9"/>
  <c r="J16" i="9" s="1"/>
  <c r="I17" i="9"/>
  <c r="J17" i="9" s="1"/>
  <c r="I18" i="9"/>
  <c r="J18" i="9" s="1"/>
  <c r="I19" i="9"/>
  <c r="J19" i="9" s="1"/>
  <c r="I20" i="9"/>
  <c r="J20" i="9" s="1"/>
  <c r="I21" i="9"/>
  <c r="J21" i="9" s="1"/>
  <c r="I22" i="9"/>
  <c r="J22" i="9" s="1"/>
  <c r="I23" i="9"/>
  <c r="J23" i="9" s="1"/>
  <c r="I24" i="9"/>
  <c r="J24" i="9" s="1"/>
  <c r="I25" i="9"/>
  <c r="J25" i="9" s="1"/>
  <c r="I26" i="9"/>
  <c r="J26" i="9" s="1"/>
  <c r="I27" i="9"/>
  <c r="J27" i="9" s="1"/>
  <c r="I29" i="9"/>
  <c r="J29" i="9" s="1"/>
  <c r="I28" i="9"/>
  <c r="J28" i="9" s="1"/>
  <c r="I30" i="9"/>
  <c r="J30" i="9" s="1"/>
  <c r="I32" i="9"/>
  <c r="J32" i="9" s="1"/>
  <c r="I33" i="9"/>
  <c r="J33" i="9" s="1"/>
  <c r="I34" i="9"/>
  <c r="J34" i="9" s="1"/>
  <c r="I35" i="9"/>
  <c r="J35" i="9" s="1"/>
  <c r="I49" i="9"/>
  <c r="J49" i="9" s="1"/>
  <c r="I50" i="9"/>
  <c r="J50" i="9" s="1"/>
  <c r="I36" i="9"/>
  <c r="J36" i="9" s="1"/>
  <c r="I51" i="9"/>
  <c r="J51" i="9" s="1"/>
  <c r="I52" i="9"/>
  <c r="J52" i="9" s="1"/>
  <c r="I39" i="9"/>
  <c r="J39" i="9" s="1"/>
  <c r="I40" i="9"/>
  <c r="J40" i="9" s="1"/>
  <c r="I37" i="9"/>
  <c r="J37" i="9" s="1"/>
  <c r="I38" i="9"/>
  <c r="J38" i="9" s="1"/>
  <c r="I41" i="9"/>
  <c r="J41" i="9" s="1"/>
  <c r="I42" i="9"/>
  <c r="J42" i="9" s="1"/>
  <c r="I43" i="9"/>
  <c r="J43" i="9" s="1"/>
  <c r="I44" i="9"/>
  <c r="J44" i="9" s="1"/>
  <c r="I45" i="9"/>
  <c r="J45" i="9" s="1"/>
  <c r="I46" i="9"/>
  <c r="J46" i="9" s="1"/>
  <c r="I48" i="9"/>
  <c r="J48" i="9" s="1"/>
  <c r="I53" i="9"/>
  <c r="J53" i="9" s="1"/>
  <c r="I54" i="9"/>
  <c r="J54" i="9" s="1"/>
  <c r="I8" i="9"/>
  <c r="J8" i="9" s="1"/>
  <c r="AM53" i="9" l="1"/>
  <c r="AM52" i="9"/>
  <c r="AM51" i="9"/>
  <c r="AM49" i="9"/>
  <c r="AM25" i="9"/>
  <c r="AM48" i="9"/>
  <c r="AM46" i="9"/>
  <c r="AM45" i="9"/>
  <c r="AM56" i="9"/>
  <c r="AM30" i="9"/>
  <c r="AM24" i="9"/>
  <c r="AM23" i="9"/>
  <c r="AM20" i="9"/>
  <c r="AM19" i="9"/>
  <c r="AM18" i="9"/>
  <c r="AM17" i="9"/>
  <c r="AM16" i="9"/>
  <c r="AM12" i="9"/>
  <c r="AM11" i="9"/>
  <c r="AM44" i="9"/>
  <c r="AM43" i="9"/>
  <c r="AM10" i="9"/>
  <c r="AM42" i="9"/>
  <c r="AM35" i="9"/>
  <c r="AM28" i="9"/>
  <c r="AM29" i="9"/>
  <c r="AM15" i="9"/>
  <c r="AM9" i="9"/>
  <c r="AM8" i="9"/>
  <c r="AM27" i="9"/>
  <c r="AM41" i="9"/>
  <c r="AM38" i="9"/>
  <c r="AM37" i="9"/>
  <c r="AM40" i="9"/>
  <c r="AM39" i="9"/>
  <c r="AM36" i="9"/>
  <c r="AM55" i="9"/>
  <c r="AM26" i="9"/>
  <c r="AM22" i="9"/>
  <c r="AM21" i="9"/>
  <c r="AM34" i="9"/>
  <c r="AM33" i="9"/>
  <c r="AM32" i="9"/>
  <c r="AM14" i="9"/>
  <c r="AM13" i="9"/>
  <c r="AM50" i="9"/>
  <c r="AN36" i="9" l="1"/>
  <c r="AN39" i="9"/>
  <c r="AN40" i="9"/>
  <c r="AN37" i="9"/>
  <c r="AN38" i="9"/>
  <c r="AN41" i="9"/>
  <c r="AN49" i="9"/>
  <c r="AN50" i="9"/>
  <c r="AN51" i="9"/>
  <c r="AN52" i="9"/>
  <c r="AN53" i="9"/>
  <c r="AN54" i="9"/>
  <c r="AN57" i="9"/>
  <c r="AN58" i="9"/>
  <c r="AN59" i="9"/>
  <c r="AN60" i="9"/>
  <c r="AN61" i="9"/>
  <c r="AN62" i="9"/>
  <c r="AN31" i="9"/>
  <c r="AN47" i="9"/>
  <c r="AN10" i="9" l="1"/>
  <c r="AN8" i="9"/>
  <c r="AN9" i="9"/>
  <c r="AN11" i="9"/>
  <c r="AN12" i="9"/>
  <c r="AN16" i="9"/>
  <c r="AN15" i="9"/>
  <c r="AN17" i="9"/>
  <c r="AN13" i="9"/>
  <c r="AN18" i="9"/>
  <c r="AN19" i="9"/>
  <c r="AN14" i="9"/>
  <c r="AN20" i="9"/>
  <c r="AN25" i="9"/>
  <c r="AN21" i="9"/>
  <c r="AN22" i="9"/>
  <c r="AN23" i="9"/>
  <c r="AN24" i="9"/>
  <c r="AN27" i="9"/>
  <c r="AN29" i="9"/>
  <c r="AN26" i="9"/>
  <c r="AN28" i="9"/>
  <c r="AN30" i="9"/>
  <c r="AN35" i="9"/>
  <c r="AN32" i="9"/>
  <c r="AN33" i="9"/>
  <c r="AN55" i="9"/>
  <c r="AN34" i="9"/>
  <c r="AN42" i="9"/>
  <c r="AN43" i="9"/>
  <c r="AN44" i="9"/>
  <c r="AN48" i="9"/>
  <c r="AN56" i="9"/>
  <c r="AN45" i="9"/>
  <c r="AN46" i="9"/>
  <c r="Q6" i="9" l="1"/>
  <c r="S6" i="9" s="1"/>
  <c r="U6" i="9" s="1"/>
  <c r="W6" i="9" s="1"/>
  <c r="Y6" i="9" s="1"/>
  <c r="AA6" i="9" s="1"/>
  <c r="AC6" i="9" s="1"/>
  <c r="AE6" i="9" s="1"/>
  <c r="AG6" i="9" s="1"/>
  <c r="AI6" i="9" s="1"/>
  <c r="AK6" i="9" s="1"/>
  <c r="H108" i="8" l="1"/>
  <c r="K111" i="8"/>
  <c r="K110" i="8"/>
  <c r="G110" i="8"/>
  <c r="C110" i="8"/>
  <c r="H106" i="8" l="1"/>
  <c r="H104" i="8" l="1"/>
  <c r="H102" i="8"/>
  <c r="H100" i="8"/>
  <c r="H98" i="8"/>
  <c r="H92" i="8"/>
  <c r="H90" i="8"/>
  <c r="H88" i="8"/>
  <c r="H86" i="8"/>
  <c r="H84" i="8"/>
  <c r="H82" i="8"/>
  <c r="H80" i="8"/>
  <c r="H78" i="8"/>
  <c r="H76" i="8"/>
  <c r="H74" i="8"/>
  <c r="H72" i="8"/>
  <c r="H70" i="8"/>
  <c r="H68" i="8"/>
  <c r="H64" i="8"/>
  <c r="H62" i="8"/>
  <c r="H60" i="8"/>
  <c r="H58" i="8"/>
  <c r="H56" i="8"/>
  <c r="H52" i="8"/>
  <c r="H50" i="8"/>
  <c r="H48" i="8"/>
  <c r="H6" i="8"/>
  <c r="H8" i="8"/>
  <c r="H10" i="8"/>
  <c r="H12" i="8"/>
  <c r="H14" i="8"/>
  <c r="H16" i="8"/>
  <c r="H18" i="8"/>
  <c r="H20" i="8"/>
  <c r="H22" i="8"/>
  <c r="H24" i="8"/>
  <c r="H26" i="8"/>
  <c r="H28" i="8"/>
  <c r="H30" i="8"/>
  <c r="H32" i="8"/>
  <c r="H34" i="8"/>
  <c r="H36" i="8"/>
  <c r="H38" i="8"/>
  <c r="H40" i="8"/>
  <c r="H42" i="8"/>
  <c r="H44" i="8"/>
  <c r="H110" i="8" l="1"/>
  <c r="I110" i="8" s="1"/>
  <c r="G32" i="5" l="1"/>
  <c r="E32" i="5"/>
  <c r="A26" i="5"/>
  <c r="A25" i="5"/>
  <c r="A33" i="5"/>
  <c r="E33" i="5" s="1"/>
  <c r="A34" i="5" l="1"/>
  <c r="A35" i="5" s="1"/>
  <c r="A36" i="5" s="1"/>
  <c r="A37" i="5" s="1"/>
  <c r="A38" i="5" s="1"/>
  <c r="A39" i="5" s="1"/>
  <c r="A40" i="5" s="1"/>
  <c r="A41" i="5" s="1"/>
  <c r="A42" i="5" s="1"/>
  <c r="A43" i="5" s="1"/>
  <c r="G43" i="5" s="1"/>
  <c r="G37" i="5"/>
  <c r="G33" i="5"/>
  <c r="C33" i="5" s="1"/>
  <c r="E42" i="5"/>
  <c r="G36" i="5"/>
  <c r="G35" i="5"/>
  <c r="C32" i="5"/>
  <c r="N17" i="7"/>
  <c r="E43" i="5" l="1"/>
  <c r="C43" i="5" s="1"/>
  <c r="A44" i="5"/>
  <c r="E37" i="5"/>
  <c r="E34" i="5"/>
  <c r="E40" i="5"/>
  <c r="E35" i="5"/>
  <c r="C35" i="5" s="1"/>
  <c r="G34" i="5"/>
  <c r="G39" i="5"/>
  <c r="G40" i="5"/>
  <c r="E36" i="5"/>
  <c r="C36" i="5" s="1"/>
  <c r="G41" i="5"/>
  <c r="C34" i="5"/>
  <c r="E41" i="5"/>
  <c r="E38" i="5"/>
  <c r="E39" i="5"/>
  <c r="G38" i="5"/>
  <c r="C37" i="5"/>
  <c r="G42" i="5"/>
  <c r="C42" i="5" s="1"/>
  <c r="A45" i="5"/>
  <c r="G44" i="5"/>
  <c r="E44" i="5"/>
  <c r="C40" i="5" l="1"/>
  <c r="C44" i="5"/>
  <c r="C39" i="5"/>
  <c r="C41" i="5"/>
  <c r="C38" i="5"/>
  <c r="A46" i="5"/>
  <c r="E45" i="5"/>
  <c r="G45" i="5"/>
  <c r="C45" i="5" l="1"/>
  <c r="A47" i="5"/>
  <c r="E46" i="5"/>
  <c r="G46" i="5"/>
  <c r="C46" i="5" l="1"/>
  <c r="A48" i="5"/>
  <c r="G47" i="5"/>
  <c r="E47" i="5"/>
  <c r="C47" i="5" s="1"/>
  <c r="A49" i="5" l="1"/>
  <c r="G48" i="5"/>
  <c r="E48" i="5"/>
  <c r="C48" i="5" s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I20" i="1"/>
  <c r="H20" i="1"/>
  <c r="G20" i="1"/>
  <c r="E20" i="1"/>
  <c r="F20" i="1" s="1"/>
  <c r="D20" i="1"/>
  <c r="C20" i="1"/>
  <c r="A50" i="5" l="1"/>
  <c r="E49" i="5"/>
  <c r="G49" i="5"/>
  <c r="E9" i="6"/>
  <c r="C9" i="6"/>
  <c r="L16" i="2"/>
  <c r="M16" i="2" s="1"/>
  <c r="C49" i="5" l="1"/>
  <c r="A51" i="5"/>
  <c r="E50" i="5"/>
  <c r="G50" i="5"/>
  <c r="D9" i="6"/>
  <c r="J20" i="1"/>
  <c r="C50" i="5" l="1"/>
  <c r="A52" i="5"/>
  <c r="G51" i="5"/>
  <c r="E51" i="5"/>
  <c r="A3" i="1"/>
  <c r="G7" i="1"/>
  <c r="H7" i="1"/>
  <c r="I7" i="1"/>
  <c r="C7" i="1"/>
  <c r="D7" i="1"/>
  <c r="E7" i="1"/>
  <c r="E37" i="6"/>
  <c r="C37" i="6"/>
  <c r="L39" i="2"/>
  <c r="M39" i="2" s="1"/>
  <c r="D37" i="6" s="1"/>
  <c r="L47" i="2"/>
  <c r="M47" i="2" s="1"/>
  <c r="C51" i="5" l="1"/>
  <c r="A53" i="5"/>
  <c r="E52" i="5"/>
  <c r="G52" i="5"/>
  <c r="J7" i="1"/>
  <c r="I21" i="1"/>
  <c r="C52" i="5" l="1"/>
  <c r="A54" i="5"/>
  <c r="E53" i="5"/>
  <c r="G53" i="5"/>
  <c r="C53" i="5" s="1"/>
  <c r="K29" i="7"/>
  <c r="H23" i="7"/>
  <c r="V23" i="7" s="1"/>
  <c r="H22" i="7"/>
  <c r="A55" i="5" l="1"/>
  <c r="G54" i="5"/>
  <c r="E54" i="5"/>
  <c r="C54" i="5" s="1"/>
  <c r="B28" i="7"/>
  <c r="D29" i="7" s="1"/>
  <c r="E30" i="6"/>
  <c r="E28" i="6"/>
  <c r="E29" i="6"/>
  <c r="E36" i="6"/>
  <c r="E39" i="6"/>
  <c r="E38" i="6"/>
  <c r="E40" i="6"/>
  <c r="E44" i="6"/>
  <c r="E41" i="6"/>
  <c r="E42" i="6"/>
  <c r="E43" i="6"/>
  <c r="E8" i="6"/>
  <c r="E16" i="6"/>
  <c r="E18" i="6"/>
  <c r="E19" i="6"/>
  <c r="E20" i="6"/>
  <c r="E21" i="6"/>
  <c r="E27" i="6"/>
  <c r="E23" i="6"/>
  <c r="E22" i="6"/>
  <c r="E24" i="6"/>
  <c r="E25" i="6"/>
  <c r="E26" i="6"/>
  <c r="E17" i="6"/>
  <c r="E4" i="6"/>
  <c r="E5" i="6"/>
  <c r="E6" i="6"/>
  <c r="E10" i="6"/>
  <c r="E11" i="6"/>
  <c r="E12" i="6"/>
  <c r="E13" i="6"/>
  <c r="E14" i="6"/>
  <c r="E3" i="6"/>
  <c r="A56" i="5" l="1"/>
  <c r="E55" i="5"/>
  <c r="G55" i="5"/>
  <c r="I28" i="7"/>
  <c r="C21" i="1"/>
  <c r="D21" i="1"/>
  <c r="E21" i="1"/>
  <c r="F21" i="1" s="1"/>
  <c r="G21" i="1"/>
  <c r="H21" i="1"/>
  <c r="C8" i="6"/>
  <c r="C55" i="5" l="1"/>
  <c r="A57" i="5"/>
  <c r="G56" i="5"/>
  <c r="E56" i="5"/>
  <c r="A1" i="1"/>
  <c r="A46" i="1"/>
  <c r="A47" i="1"/>
  <c r="A48" i="1"/>
  <c r="A49" i="1"/>
  <c r="A50" i="1"/>
  <c r="A51" i="1"/>
  <c r="A52" i="1"/>
  <c r="A53" i="1"/>
  <c r="C56" i="5" l="1"/>
  <c r="A58" i="5"/>
  <c r="E57" i="5"/>
  <c r="G57" i="5"/>
  <c r="B1" i="6"/>
  <c r="C43" i="6"/>
  <c r="D43" i="6"/>
  <c r="C57" i="5" l="1"/>
  <c r="A59" i="5"/>
  <c r="G58" i="5"/>
  <c r="E58" i="5"/>
  <c r="C41" i="6"/>
  <c r="C6" i="1"/>
  <c r="D6" i="1"/>
  <c r="E6" i="1"/>
  <c r="F6" i="1" s="1"/>
  <c r="G6" i="1"/>
  <c r="H6" i="1"/>
  <c r="I6" i="1"/>
  <c r="J6" i="1"/>
  <c r="L46" i="2"/>
  <c r="M46" i="2" s="1"/>
  <c r="D41" i="6" s="1"/>
  <c r="C58" i="5" l="1"/>
  <c r="A60" i="5"/>
  <c r="E59" i="5"/>
  <c r="G59" i="5"/>
  <c r="C42" i="6"/>
  <c r="C44" i="6"/>
  <c r="C40" i="6"/>
  <c r="C38" i="6"/>
  <c r="C39" i="6"/>
  <c r="C45" i="6"/>
  <c r="C36" i="6"/>
  <c r="C29" i="6"/>
  <c r="C28" i="6"/>
  <c r="C30" i="6"/>
  <c r="C34" i="6"/>
  <c r="C32" i="6"/>
  <c r="C33" i="6"/>
  <c r="C31" i="6"/>
  <c r="C35" i="6"/>
  <c r="C26" i="6"/>
  <c r="C25" i="6"/>
  <c r="C24" i="6"/>
  <c r="C22" i="6"/>
  <c r="C23" i="6"/>
  <c r="C27" i="6"/>
  <c r="C21" i="6"/>
  <c r="C20" i="6"/>
  <c r="C19" i="6"/>
  <c r="C18" i="6"/>
  <c r="C16" i="6"/>
  <c r="C17" i="6"/>
  <c r="C14" i="6"/>
  <c r="C13" i="6"/>
  <c r="C12" i="6"/>
  <c r="C11" i="6"/>
  <c r="C10" i="6"/>
  <c r="C15" i="6"/>
  <c r="C6" i="6"/>
  <c r="C5" i="6"/>
  <c r="C4" i="6"/>
  <c r="C7" i="6"/>
  <c r="C3" i="6"/>
  <c r="C31" i="1"/>
  <c r="D31" i="1"/>
  <c r="E31" i="1"/>
  <c r="F31" i="1" s="1"/>
  <c r="G31" i="1"/>
  <c r="H31" i="1"/>
  <c r="I31" i="1"/>
  <c r="L7" i="2"/>
  <c r="M7" i="2" s="1"/>
  <c r="C59" i="5" l="1"/>
  <c r="A61" i="5"/>
  <c r="G60" i="5"/>
  <c r="E60" i="5"/>
  <c r="H19" i="6"/>
  <c r="H23" i="6"/>
  <c r="H26" i="6"/>
  <c r="H18" i="6"/>
  <c r="H27" i="6"/>
  <c r="H17" i="6"/>
  <c r="H20" i="6"/>
  <c r="H22" i="6"/>
  <c r="H25" i="6"/>
  <c r="H16" i="6"/>
  <c r="H21" i="6"/>
  <c r="H24" i="6"/>
  <c r="H36" i="6"/>
  <c r="D3" i="6"/>
  <c r="J2" i="6"/>
  <c r="K2" i="6" s="1"/>
  <c r="L2" i="6" s="1"/>
  <c r="M2" i="6" s="1"/>
  <c r="N2" i="6" s="1"/>
  <c r="O2" i="6" s="1"/>
  <c r="P2" i="6" s="1"/>
  <c r="Q2" i="6" s="1"/>
  <c r="R2" i="6" s="1"/>
  <c r="S2" i="6" s="1"/>
  <c r="T2" i="6" s="1"/>
  <c r="C60" i="5" l="1"/>
  <c r="J31" i="5"/>
  <c r="G61" i="5"/>
  <c r="E61" i="5"/>
  <c r="Y5" i="6"/>
  <c r="Y6" i="6"/>
  <c r="Y4" i="6"/>
  <c r="X5" i="6"/>
  <c r="X6" i="6"/>
  <c r="X4" i="6"/>
  <c r="C61" i="5" l="1"/>
  <c r="N31" i="5"/>
  <c r="P31" i="5"/>
  <c r="J32" i="5"/>
  <c r="X7" i="6"/>
  <c r="Y7" i="6"/>
  <c r="C45" i="1"/>
  <c r="D45" i="1"/>
  <c r="E45" i="1"/>
  <c r="F45" i="1" s="1"/>
  <c r="G45" i="1"/>
  <c r="H45" i="1"/>
  <c r="I45" i="1"/>
  <c r="C16" i="1"/>
  <c r="D16" i="1"/>
  <c r="E16" i="1"/>
  <c r="F16" i="1" s="1"/>
  <c r="G16" i="1"/>
  <c r="H16" i="1"/>
  <c r="I16" i="1"/>
  <c r="C38" i="1"/>
  <c r="D38" i="1"/>
  <c r="E38" i="1"/>
  <c r="F38" i="1" s="1"/>
  <c r="G38" i="1"/>
  <c r="H38" i="1"/>
  <c r="I38" i="1"/>
  <c r="L36" i="2"/>
  <c r="M36" i="2" s="1"/>
  <c r="L28" i="2"/>
  <c r="M28" i="2" s="1"/>
  <c r="L31" i="5" l="1"/>
  <c r="N32" i="5"/>
  <c r="J33" i="5"/>
  <c r="P32" i="5"/>
  <c r="J16" i="1"/>
  <c r="D26" i="6"/>
  <c r="D29" i="6"/>
  <c r="H31" i="4"/>
  <c r="I29" i="4"/>
  <c r="J29" i="4" s="1"/>
  <c r="I28" i="4"/>
  <c r="J28" i="4" s="1"/>
  <c r="I27" i="4"/>
  <c r="J27" i="4" s="1"/>
  <c r="I26" i="4"/>
  <c r="J26" i="4" s="1"/>
  <c r="I25" i="4"/>
  <c r="J25" i="4" s="1"/>
  <c r="I24" i="4"/>
  <c r="J24" i="4" s="1"/>
  <c r="I23" i="4"/>
  <c r="J23" i="4" s="1"/>
  <c r="I22" i="4"/>
  <c r="J22" i="4" s="1"/>
  <c r="J21" i="4"/>
  <c r="I20" i="4"/>
  <c r="J20" i="4" s="1"/>
  <c r="I19" i="4"/>
  <c r="J19" i="4" s="1"/>
  <c r="I18" i="4"/>
  <c r="J18" i="4" s="1"/>
  <c r="I17" i="4"/>
  <c r="J17" i="4" s="1"/>
  <c r="I16" i="4"/>
  <c r="J16" i="4" s="1"/>
  <c r="I15" i="4"/>
  <c r="J15" i="4" s="1"/>
  <c r="I14" i="4"/>
  <c r="J14" i="4" s="1"/>
  <c r="I13" i="4"/>
  <c r="J13" i="4" s="1"/>
  <c r="I12" i="4"/>
  <c r="J12" i="4" s="1"/>
  <c r="I11" i="4"/>
  <c r="J11" i="4" s="1"/>
  <c r="I10" i="4"/>
  <c r="J10" i="4" s="1"/>
  <c r="I9" i="4"/>
  <c r="J9" i="4" s="1"/>
  <c r="I8" i="4"/>
  <c r="J8" i="4" s="1"/>
  <c r="I7" i="4"/>
  <c r="J7" i="4" s="1"/>
  <c r="I6" i="4"/>
  <c r="J6" i="4" s="1"/>
  <c r="I5" i="4"/>
  <c r="J5" i="4" s="1"/>
  <c r="I4" i="4"/>
  <c r="J4" i="4" s="1"/>
  <c r="I3" i="4"/>
  <c r="N1" i="4"/>
  <c r="P1" i="4" s="1"/>
  <c r="R1" i="4" s="1"/>
  <c r="T1" i="4" s="1"/>
  <c r="V1" i="4" s="1"/>
  <c r="K51" i="3"/>
  <c r="J51" i="3"/>
  <c r="L49" i="3"/>
  <c r="M49" i="3" s="1"/>
  <c r="L43" i="3"/>
  <c r="M43" i="3" s="1"/>
  <c r="L42" i="3"/>
  <c r="M42" i="3" s="1"/>
  <c r="L41" i="3"/>
  <c r="M41" i="3" s="1"/>
  <c r="L40" i="3"/>
  <c r="M40" i="3" s="1"/>
  <c r="L39" i="3"/>
  <c r="M39" i="3" s="1"/>
  <c r="L38" i="3"/>
  <c r="M38" i="3" s="1"/>
  <c r="L37" i="3"/>
  <c r="M37" i="3" s="1"/>
  <c r="L36" i="3"/>
  <c r="M36" i="3" s="1"/>
  <c r="L35" i="3"/>
  <c r="M35" i="3" s="1"/>
  <c r="L34" i="3"/>
  <c r="M34" i="3" s="1"/>
  <c r="M33" i="3"/>
  <c r="L32" i="3"/>
  <c r="M32" i="3" s="1"/>
  <c r="L31" i="3"/>
  <c r="M31" i="3" s="1"/>
  <c r="L30" i="3"/>
  <c r="M30" i="3" s="1"/>
  <c r="L29" i="3"/>
  <c r="M29" i="3" s="1"/>
  <c r="M28" i="3"/>
  <c r="L27" i="3"/>
  <c r="M27" i="3" s="1"/>
  <c r="L26" i="3"/>
  <c r="M26" i="3" s="1"/>
  <c r="L25" i="3"/>
  <c r="M25" i="3" s="1"/>
  <c r="L24" i="3"/>
  <c r="M24" i="3" s="1"/>
  <c r="L23" i="3"/>
  <c r="M23" i="3" s="1"/>
  <c r="L22" i="3"/>
  <c r="M22" i="3" s="1"/>
  <c r="L21" i="3"/>
  <c r="M21" i="3" s="1"/>
  <c r="L20" i="3"/>
  <c r="M20" i="3" s="1"/>
  <c r="L19" i="3"/>
  <c r="M19" i="3" s="1"/>
  <c r="L18" i="3"/>
  <c r="M18" i="3" s="1"/>
  <c r="L17" i="3"/>
  <c r="M17" i="3" s="1"/>
  <c r="L16" i="3"/>
  <c r="M16" i="3" s="1"/>
  <c r="L15" i="3"/>
  <c r="M15" i="3" s="1"/>
  <c r="L14" i="3"/>
  <c r="M14" i="3" s="1"/>
  <c r="L13" i="3"/>
  <c r="M13" i="3" s="1"/>
  <c r="L12" i="3"/>
  <c r="M12" i="3" s="1"/>
  <c r="L11" i="3"/>
  <c r="M11" i="3" s="1"/>
  <c r="L10" i="3"/>
  <c r="M10" i="3" s="1"/>
  <c r="L9" i="3"/>
  <c r="M9" i="3" s="1"/>
  <c r="L8" i="3"/>
  <c r="M8" i="3" s="1"/>
  <c r="L7" i="3"/>
  <c r="M7" i="3" s="1"/>
  <c r="L6" i="3"/>
  <c r="M6" i="3" s="1"/>
  <c r="L5" i="3"/>
  <c r="M5" i="3" s="1"/>
  <c r="L4" i="3"/>
  <c r="M4" i="3" s="1"/>
  <c r="L3" i="3"/>
  <c r="Q1" i="3"/>
  <c r="S1" i="3" s="1"/>
  <c r="U1" i="3" s="1"/>
  <c r="W1" i="3" s="1"/>
  <c r="Y1" i="3" s="1"/>
  <c r="AA1" i="3" s="1"/>
  <c r="AC1" i="3" s="1"/>
  <c r="AE1" i="3" s="1"/>
  <c r="AG1" i="3" s="1"/>
  <c r="AI1" i="3" s="1"/>
  <c r="AK1" i="3" s="1"/>
  <c r="K49" i="2"/>
  <c r="J49" i="2"/>
  <c r="L8" i="2"/>
  <c r="M8" i="2" s="1"/>
  <c r="L45" i="2"/>
  <c r="M45" i="2" s="1"/>
  <c r="J44" i="1" s="1"/>
  <c r="L44" i="2"/>
  <c r="M44" i="2" s="1"/>
  <c r="L43" i="2"/>
  <c r="M43" i="2" s="1"/>
  <c r="L42" i="2"/>
  <c r="M42" i="2" s="1"/>
  <c r="L41" i="2"/>
  <c r="M41" i="2" s="1"/>
  <c r="L40" i="2"/>
  <c r="M40" i="2" s="1"/>
  <c r="L38" i="2"/>
  <c r="M38" i="2" s="1"/>
  <c r="D36" i="6" s="1"/>
  <c r="M37" i="2"/>
  <c r="L35" i="2"/>
  <c r="M35" i="2" s="1"/>
  <c r="M34" i="2"/>
  <c r="L33" i="2"/>
  <c r="M33" i="2" s="1"/>
  <c r="L32" i="2"/>
  <c r="M32" i="2" s="1"/>
  <c r="L31" i="2"/>
  <c r="M31" i="2" s="1"/>
  <c r="D31" i="6" s="1"/>
  <c r="L30" i="2"/>
  <c r="M30" i="2" s="1"/>
  <c r="L27" i="2"/>
  <c r="M27" i="2" s="1"/>
  <c r="L26" i="2"/>
  <c r="M26" i="2" s="1"/>
  <c r="D24" i="6" s="1"/>
  <c r="L25" i="2"/>
  <c r="M25" i="2" s="1"/>
  <c r="J40" i="1" s="1"/>
  <c r="L24" i="2"/>
  <c r="M24" i="2" s="1"/>
  <c r="L23" i="2"/>
  <c r="M23" i="2" s="1"/>
  <c r="L22" i="2"/>
  <c r="M22" i="2" s="1"/>
  <c r="L21" i="2"/>
  <c r="M21" i="2" s="1"/>
  <c r="L29" i="2"/>
  <c r="M29" i="2" s="1"/>
  <c r="D35" i="6" s="1"/>
  <c r="L20" i="2"/>
  <c r="M20" i="2" s="1"/>
  <c r="L19" i="2"/>
  <c r="M19" i="2" s="1"/>
  <c r="D18" i="6" s="1"/>
  <c r="L18" i="2"/>
  <c r="M18" i="2" s="1"/>
  <c r="J38" i="1" s="1"/>
  <c r="L17" i="2"/>
  <c r="M17" i="2" s="1"/>
  <c r="D17" i="6" s="1"/>
  <c r="L15" i="2"/>
  <c r="M15" i="2" s="1"/>
  <c r="L14" i="2"/>
  <c r="M14" i="2" s="1"/>
  <c r="D13" i="6" s="1"/>
  <c r="M13" i="2"/>
  <c r="L12" i="2"/>
  <c r="M12" i="2" s="1"/>
  <c r="L11" i="2"/>
  <c r="M11" i="2" s="1"/>
  <c r="J33" i="1" s="1"/>
  <c r="L10" i="2"/>
  <c r="M10" i="2" s="1"/>
  <c r="L9" i="2"/>
  <c r="M9" i="2" s="1"/>
  <c r="L6" i="2"/>
  <c r="M6" i="2" s="1"/>
  <c r="L5" i="2"/>
  <c r="M5" i="2" s="1"/>
  <c r="L4" i="2"/>
  <c r="M4" i="2" s="1"/>
  <c r="L3" i="2"/>
  <c r="Q1" i="2"/>
  <c r="S1" i="2" s="1"/>
  <c r="U1" i="2" s="1"/>
  <c r="W1" i="2" s="1"/>
  <c r="Y1" i="2" s="1"/>
  <c r="AA1" i="2" s="1"/>
  <c r="AC1" i="2" s="1"/>
  <c r="AE1" i="2" s="1"/>
  <c r="AG1" i="2" s="1"/>
  <c r="AI1" i="2" s="1"/>
  <c r="AK1" i="2" s="1"/>
  <c r="B55" i="1"/>
  <c r="I44" i="1"/>
  <c r="H44" i="1"/>
  <c r="G44" i="1"/>
  <c r="E44" i="1"/>
  <c r="F44" i="1" s="1"/>
  <c r="D44" i="1"/>
  <c r="C44" i="1"/>
  <c r="I43" i="1"/>
  <c r="H43" i="1"/>
  <c r="G43" i="1"/>
  <c r="E43" i="1"/>
  <c r="F43" i="1" s="1"/>
  <c r="D43" i="1"/>
  <c r="C43" i="1"/>
  <c r="I42" i="1"/>
  <c r="H42" i="1"/>
  <c r="G42" i="1"/>
  <c r="E42" i="1"/>
  <c r="F42" i="1" s="1"/>
  <c r="D42" i="1"/>
  <c r="C42" i="1"/>
  <c r="I41" i="1"/>
  <c r="H41" i="1"/>
  <c r="G41" i="1"/>
  <c r="E41" i="1"/>
  <c r="F41" i="1" s="1"/>
  <c r="D41" i="1"/>
  <c r="C41" i="1"/>
  <c r="I40" i="1"/>
  <c r="H40" i="1"/>
  <c r="G40" i="1"/>
  <c r="E40" i="1"/>
  <c r="F40" i="1" s="1"/>
  <c r="D40" i="1"/>
  <c r="C40" i="1"/>
  <c r="I39" i="1"/>
  <c r="H39" i="1"/>
  <c r="G39" i="1"/>
  <c r="E39" i="1"/>
  <c r="F39" i="1" s="1"/>
  <c r="D39" i="1"/>
  <c r="C39" i="1"/>
  <c r="I37" i="1"/>
  <c r="H37" i="1"/>
  <c r="G37" i="1"/>
  <c r="E37" i="1"/>
  <c r="F37" i="1" s="1"/>
  <c r="D37" i="1"/>
  <c r="C37" i="1"/>
  <c r="I36" i="1"/>
  <c r="H36" i="1"/>
  <c r="G36" i="1"/>
  <c r="E36" i="1"/>
  <c r="F36" i="1" s="1"/>
  <c r="D36" i="1"/>
  <c r="C36" i="1"/>
  <c r="I35" i="1"/>
  <c r="H35" i="1"/>
  <c r="G35" i="1"/>
  <c r="E35" i="1"/>
  <c r="F35" i="1" s="1"/>
  <c r="D35" i="1"/>
  <c r="C35" i="1"/>
  <c r="I34" i="1"/>
  <c r="H34" i="1"/>
  <c r="G34" i="1"/>
  <c r="E34" i="1"/>
  <c r="F34" i="1" s="1"/>
  <c r="D34" i="1"/>
  <c r="C34" i="1"/>
  <c r="I33" i="1"/>
  <c r="H33" i="1"/>
  <c r="G33" i="1"/>
  <c r="E33" i="1"/>
  <c r="F33" i="1" s="1"/>
  <c r="D33" i="1"/>
  <c r="C33" i="1"/>
  <c r="I32" i="1"/>
  <c r="H32" i="1"/>
  <c r="G32" i="1"/>
  <c r="E32" i="1"/>
  <c r="F32" i="1" s="1"/>
  <c r="D32" i="1"/>
  <c r="C32" i="1"/>
  <c r="I30" i="1"/>
  <c r="H30" i="1"/>
  <c r="G30" i="1"/>
  <c r="E30" i="1"/>
  <c r="F30" i="1" s="1"/>
  <c r="D30" i="1"/>
  <c r="C30" i="1"/>
  <c r="I29" i="1"/>
  <c r="H29" i="1"/>
  <c r="G29" i="1"/>
  <c r="E29" i="1"/>
  <c r="F29" i="1" s="1"/>
  <c r="D29" i="1"/>
  <c r="C29" i="1"/>
  <c r="I28" i="1"/>
  <c r="H28" i="1"/>
  <c r="G28" i="1"/>
  <c r="E28" i="1"/>
  <c r="F28" i="1" s="1"/>
  <c r="D28" i="1"/>
  <c r="C28" i="1"/>
  <c r="I27" i="1"/>
  <c r="H27" i="1"/>
  <c r="G27" i="1"/>
  <c r="E27" i="1"/>
  <c r="F27" i="1" s="1"/>
  <c r="D27" i="1"/>
  <c r="C27" i="1"/>
  <c r="I26" i="1"/>
  <c r="H26" i="1"/>
  <c r="G26" i="1"/>
  <c r="E26" i="1"/>
  <c r="F26" i="1" s="1"/>
  <c r="D26" i="1"/>
  <c r="C26" i="1"/>
  <c r="I25" i="1"/>
  <c r="H25" i="1"/>
  <c r="G25" i="1"/>
  <c r="E25" i="1"/>
  <c r="F25" i="1" s="1"/>
  <c r="D25" i="1"/>
  <c r="C25" i="1"/>
  <c r="I24" i="1"/>
  <c r="H24" i="1"/>
  <c r="G24" i="1"/>
  <c r="E24" i="1"/>
  <c r="F24" i="1" s="1"/>
  <c r="D24" i="1"/>
  <c r="C24" i="1"/>
  <c r="I23" i="1"/>
  <c r="H23" i="1"/>
  <c r="G23" i="1"/>
  <c r="E23" i="1"/>
  <c r="F23" i="1" s="1"/>
  <c r="D23" i="1"/>
  <c r="C23" i="1"/>
  <c r="I22" i="1"/>
  <c r="H22" i="1"/>
  <c r="G22" i="1"/>
  <c r="E22" i="1"/>
  <c r="F22" i="1" s="1"/>
  <c r="D22" i="1"/>
  <c r="C22" i="1"/>
  <c r="I19" i="1"/>
  <c r="H19" i="1"/>
  <c r="G19" i="1"/>
  <c r="E19" i="1"/>
  <c r="F19" i="1" s="1"/>
  <c r="D19" i="1"/>
  <c r="C19" i="1"/>
  <c r="I18" i="1"/>
  <c r="H18" i="1"/>
  <c r="G18" i="1"/>
  <c r="E18" i="1"/>
  <c r="F18" i="1" s="1"/>
  <c r="D18" i="1"/>
  <c r="C18" i="1"/>
  <c r="I17" i="1"/>
  <c r="H17" i="1"/>
  <c r="G17" i="1"/>
  <c r="E17" i="1"/>
  <c r="F17" i="1" s="1"/>
  <c r="D17" i="1"/>
  <c r="C17" i="1"/>
  <c r="I15" i="1"/>
  <c r="H15" i="1"/>
  <c r="G15" i="1"/>
  <c r="E15" i="1"/>
  <c r="F15" i="1" s="1"/>
  <c r="D15" i="1"/>
  <c r="C15" i="1"/>
  <c r="I14" i="1"/>
  <c r="H14" i="1"/>
  <c r="G14" i="1"/>
  <c r="E14" i="1"/>
  <c r="F14" i="1" s="1"/>
  <c r="D14" i="1"/>
  <c r="C14" i="1"/>
  <c r="I13" i="1"/>
  <c r="H13" i="1"/>
  <c r="G13" i="1"/>
  <c r="E13" i="1"/>
  <c r="F13" i="1" s="1"/>
  <c r="D13" i="1"/>
  <c r="C13" i="1"/>
  <c r="I12" i="1"/>
  <c r="H12" i="1"/>
  <c r="G12" i="1"/>
  <c r="E12" i="1"/>
  <c r="F12" i="1" s="1"/>
  <c r="D12" i="1"/>
  <c r="C12" i="1"/>
  <c r="I11" i="1"/>
  <c r="H11" i="1"/>
  <c r="G11" i="1"/>
  <c r="E11" i="1"/>
  <c r="F11" i="1" s="1"/>
  <c r="D11" i="1"/>
  <c r="C11" i="1"/>
  <c r="I10" i="1"/>
  <c r="H10" i="1"/>
  <c r="G10" i="1"/>
  <c r="E10" i="1"/>
  <c r="F10" i="1" s="1"/>
  <c r="D10" i="1"/>
  <c r="C10" i="1"/>
  <c r="I9" i="1"/>
  <c r="H9" i="1"/>
  <c r="G9" i="1"/>
  <c r="E9" i="1"/>
  <c r="F9" i="1" s="1"/>
  <c r="D9" i="1"/>
  <c r="C9" i="1"/>
  <c r="I8" i="1"/>
  <c r="H8" i="1"/>
  <c r="G8" i="1"/>
  <c r="E8" i="1"/>
  <c r="F8" i="1" s="1"/>
  <c r="D8" i="1"/>
  <c r="C8" i="1"/>
  <c r="I5" i="1"/>
  <c r="H5" i="1"/>
  <c r="G5" i="1"/>
  <c r="E5" i="1"/>
  <c r="F5" i="1" s="1"/>
  <c r="D5" i="1"/>
  <c r="C5" i="1"/>
  <c r="I4" i="1"/>
  <c r="H4" i="1"/>
  <c r="G4" i="1"/>
  <c r="E4" i="1"/>
  <c r="F4" i="1" s="1"/>
  <c r="D4" i="1"/>
  <c r="C4" i="1"/>
  <c r="I3" i="1"/>
  <c r="H3" i="1"/>
  <c r="G3" i="1"/>
  <c r="E3" i="1"/>
  <c r="F3" i="1" s="1"/>
  <c r="D3" i="1"/>
  <c r="C3" i="1"/>
  <c r="L32" i="5" l="1"/>
  <c r="J3" i="1"/>
  <c r="P33" i="5"/>
  <c r="J34" i="5"/>
  <c r="N33" i="5"/>
  <c r="L33" i="5" s="1"/>
  <c r="R20" i="7"/>
  <c r="J17" i="1"/>
  <c r="D4" i="6"/>
  <c r="J23" i="1"/>
  <c r="D10" i="6"/>
  <c r="J12" i="1"/>
  <c r="D21" i="6"/>
  <c r="J5" i="1"/>
  <c r="D34" i="6"/>
  <c r="J15" i="1"/>
  <c r="D45" i="6"/>
  <c r="H37" i="6" s="1"/>
  <c r="J32" i="1"/>
  <c r="D44" i="6"/>
  <c r="J31" i="1"/>
  <c r="J22" i="1"/>
  <c r="J9" i="1"/>
  <c r="D5" i="6"/>
  <c r="J34" i="1"/>
  <c r="D11" i="6"/>
  <c r="J30" i="1"/>
  <c r="D14" i="6"/>
  <c r="J25" i="1"/>
  <c r="D19" i="6"/>
  <c r="J13" i="1"/>
  <c r="D27" i="6"/>
  <c r="J29" i="1"/>
  <c r="D25" i="6"/>
  <c r="J37" i="1"/>
  <c r="D33" i="6"/>
  <c r="J18" i="1"/>
  <c r="D39" i="6"/>
  <c r="J45" i="1"/>
  <c r="D42" i="6"/>
  <c r="J10" i="1"/>
  <c r="D6" i="6"/>
  <c r="J24" i="1"/>
  <c r="D12" i="6"/>
  <c r="J35" i="1"/>
  <c r="D23" i="6"/>
  <c r="J14" i="1"/>
  <c r="D30" i="6"/>
  <c r="J43" i="1"/>
  <c r="D28" i="6"/>
  <c r="J19" i="1"/>
  <c r="D38" i="6"/>
  <c r="D8" i="6"/>
  <c r="J21" i="1"/>
  <c r="J36" i="1"/>
  <c r="J42" i="1"/>
  <c r="J11" i="1"/>
  <c r="D15" i="6"/>
  <c r="H9" i="6" s="1"/>
  <c r="J39" i="1"/>
  <c r="D16" i="6"/>
  <c r="J27" i="1"/>
  <c r="D20" i="6"/>
  <c r="J41" i="1"/>
  <c r="D22" i="6"/>
  <c r="J26" i="1"/>
  <c r="J28" i="1"/>
  <c r="D40" i="6"/>
  <c r="D32" i="6"/>
  <c r="I31" i="4"/>
  <c r="J3" i="4"/>
  <c r="J31" i="4" s="1"/>
  <c r="L51" i="3"/>
  <c r="M3" i="3"/>
  <c r="M51" i="3" s="1"/>
  <c r="L49" i="2"/>
  <c r="M3" i="2"/>
  <c r="P34" i="5" l="1"/>
  <c r="J35" i="5"/>
  <c r="N34" i="5"/>
  <c r="L34" i="5" s="1"/>
  <c r="G9" i="6"/>
  <c r="D7" i="6"/>
  <c r="G48" i="6" s="1"/>
  <c r="M49" i="2"/>
  <c r="G37" i="6"/>
  <c r="H29" i="6"/>
  <c r="E48" i="6"/>
  <c r="G11" i="6"/>
  <c r="G15" i="6"/>
  <c r="G13" i="6"/>
  <c r="G12" i="6"/>
  <c r="G14" i="6"/>
  <c r="G10" i="6"/>
  <c r="H30" i="6"/>
  <c r="H31" i="6"/>
  <c r="G42" i="6"/>
  <c r="G43" i="6"/>
  <c r="G41" i="6"/>
  <c r="G40" i="6"/>
  <c r="G45" i="6"/>
  <c r="G44" i="6"/>
  <c r="G38" i="6"/>
  <c r="G39" i="6"/>
  <c r="H34" i="6"/>
  <c r="H35" i="6"/>
  <c r="G18" i="6"/>
  <c r="G16" i="6"/>
  <c r="G19" i="6"/>
  <c r="G20" i="6"/>
  <c r="G17" i="6"/>
  <c r="H13" i="6"/>
  <c r="H12" i="6"/>
  <c r="H11" i="6"/>
  <c r="H10" i="6"/>
  <c r="H14" i="6"/>
  <c r="H15" i="6"/>
  <c r="G36" i="6"/>
  <c r="H44" i="6"/>
  <c r="H42" i="6"/>
  <c r="H43" i="6"/>
  <c r="H41" i="6"/>
  <c r="H40" i="6"/>
  <c r="H39" i="6"/>
  <c r="H45" i="6"/>
  <c r="H38" i="6"/>
  <c r="G26" i="6"/>
  <c r="G25" i="6"/>
  <c r="G24" i="6"/>
  <c r="G23" i="6"/>
  <c r="G22" i="6"/>
  <c r="G27" i="6"/>
  <c r="G21" i="6"/>
  <c r="G4" i="6"/>
  <c r="G5" i="6"/>
  <c r="G8" i="6"/>
  <c r="G3" i="6"/>
  <c r="G7" i="6"/>
  <c r="G6" i="6"/>
  <c r="H32" i="6"/>
  <c r="H33" i="6"/>
  <c r="G30" i="6"/>
  <c r="G29" i="6"/>
  <c r="G33" i="6"/>
  <c r="G35" i="6"/>
  <c r="G32" i="6"/>
  <c r="G34" i="6"/>
  <c r="G31" i="6"/>
  <c r="G28" i="6"/>
  <c r="H28" i="6"/>
  <c r="J8" i="1"/>
  <c r="J55" i="1" s="1"/>
  <c r="P35" i="5" l="1"/>
  <c r="N35" i="5"/>
  <c r="J36" i="5"/>
  <c r="H6" i="6"/>
  <c r="H8" i="6"/>
  <c r="H4" i="6"/>
  <c r="H5" i="6"/>
  <c r="H3" i="6"/>
  <c r="H7" i="6"/>
  <c r="F48" i="6"/>
  <c r="L35" i="5" l="1"/>
  <c r="P36" i="5"/>
  <c r="J37" i="5"/>
  <c r="N36" i="5"/>
  <c r="L36" i="5" s="1"/>
  <c r="J38" i="5" l="1"/>
  <c r="P37" i="5"/>
  <c r="N37" i="5"/>
  <c r="L37" i="5" s="1"/>
  <c r="J39" i="5" l="1"/>
  <c r="P38" i="5"/>
  <c r="N38" i="5"/>
  <c r="L38" i="5" l="1"/>
  <c r="J40" i="5"/>
  <c r="P39" i="5"/>
  <c r="N39" i="5"/>
  <c r="L39" i="5" s="1"/>
  <c r="J41" i="5" l="1"/>
  <c r="P40" i="5"/>
  <c r="N40" i="5"/>
  <c r="L40" i="5" s="1"/>
  <c r="J42" i="5" l="1"/>
  <c r="P41" i="5"/>
  <c r="N41" i="5"/>
  <c r="L41" i="5" l="1"/>
  <c r="P42" i="5"/>
  <c r="N42" i="5"/>
  <c r="L42" i="5" s="1"/>
  <c r="J43" i="5"/>
  <c r="J44" i="5" l="1"/>
  <c r="P43" i="5"/>
  <c r="N43" i="5"/>
  <c r="L43" i="5" l="1"/>
  <c r="J45" i="5"/>
  <c r="N44" i="5"/>
  <c r="P44" i="5"/>
  <c r="L44" i="5" s="1"/>
  <c r="J46" i="5" l="1"/>
  <c r="P45" i="5"/>
  <c r="N45" i="5"/>
  <c r="L45" i="5" l="1"/>
  <c r="J47" i="5"/>
  <c r="N46" i="5"/>
  <c r="P46" i="5"/>
  <c r="L46" i="5" l="1"/>
  <c r="J48" i="5"/>
  <c r="P47" i="5"/>
  <c r="N47" i="5"/>
  <c r="L47" i="5" s="1"/>
  <c r="J49" i="5" l="1"/>
  <c r="P48" i="5"/>
  <c r="N48" i="5"/>
  <c r="L48" i="5" s="1"/>
  <c r="J50" i="5" l="1"/>
  <c r="N49" i="5"/>
  <c r="P49" i="5"/>
  <c r="L49" i="5" s="1"/>
  <c r="J51" i="5" l="1"/>
  <c r="N50" i="5"/>
  <c r="P50" i="5"/>
  <c r="L50" i="5" l="1"/>
  <c r="J52" i="5"/>
  <c r="N51" i="5"/>
  <c r="P51" i="5"/>
  <c r="L51" i="5" l="1"/>
  <c r="P52" i="5"/>
  <c r="J53" i="5"/>
  <c r="N52" i="5"/>
  <c r="L52" i="5" l="1"/>
  <c r="P53" i="5"/>
  <c r="J54" i="5"/>
  <c r="N53" i="5"/>
  <c r="L53" i="5" l="1"/>
  <c r="P54" i="5"/>
  <c r="N54" i="5"/>
  <c r="J55" i="5"/>
  <c r="J56" i="5" l="1"/>
  <c r="P55" i="5"/>
  <c r="N55" i="5"/>
  <c r="L54" i="5"/>
  <c r="L55" i="5" l="1"/>
  <c r="N56" i="5"/>
  <c r="P56" i="5"/>
  <c r="J57" i="5"/>
  <c r="L56" i="5" l="1"/>
  <c r="P57" i="5"/>
  <c r="N57" i="5"/>
  <c r="J58" i="5"/>
  <c r="J59" i="5" l="1"/>
  <c r="P58" i="5"/>
  <c r="N58" i="5"/>
  <c r="L57" i="5"/>
  <c r="L58" i="5" l="1"/>
  <c r="J60" i="5"/>
  <c r="P59" i="5"/>
  <c r="N59" i="5"/>
  <c r="L59" i="5" l="1"/>
  <c r="N60" i="5"/>
  <c r="P60" i="5"/>
  <c r="J61" i="5"/>
  <c r="L60" i="5" l="1"/>
  <c r="P61" i="5"/>
  <c r="N61" i="5"/>
  <c r="L61" i="5" l="1"/>
  <c r="I89" i="9" l="1"/>
  <c r="E89" i="9" l="1"/>
  <c r="H89" i="9"/>
  <c r="J89" i="9"/>
  <c r="A31" i="9"/>
  <c r="A47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tc={D3F9214B-7958-4838-AB57-54DAA5E7AA46}</author>
  </authors>
  <commentList>
    <comment ref="AL50" authorId="0" shapeId="0" xr:uid="{D3F9214B-7958-4838-AB57-54DAA5E7AA4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2020.11.20. - 2020. 11. 31.자 출금분 출금 정지시키고, 2020. 12. 20. 세금계산서 발행 후 출금재개 하여 출금주기 정상화할 것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노무법인 화랑 컨설팅(02-6104-7010)</author>
  </authors>
  <commentList>
    <comment ref="R18" authorId="0" shapeId="0" xr:uid="{FFDEF050-8F0A-4FF2-B5FD-69805D6A69CB}">
      <text>
        <r>
          <rPr>
            <b/>
            <sz val="9"/>
            <color indexed="81"/>
            <rFont val="Tahoma"/>
            <family val="2"/>
          </rPr>
          <t xml:space="preserve">2020. 6. 10. </t>
        </r>
        <r>
          <rPr>
            <b/>
            <sz val="9"/>
            <color indexed="81"/>
            <rFont val="돋움"/>
            <family val="3"/>
            <charset val="129"/>
          </rPr>
          <t>출금붙부터</t>
        </r>
        <r>
          <rPr>
            <b/>
            <sz val="9"/>
            <color indexed="81"/>
            <rFont val="Tahoma"/>
            <family val="2"/>
          </rPr>
          <t xml:space="preserve"> 330,000(VAT </t>
        </r>
        <r>
          <rPr>
            <b/>
            <sz val="9"/>
            <color indexed="81"/>
            <rFont val="돋움"/>
            <family val="3"/>
            <charset val="129"/>
          </rPr>
          <t>포함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R30" authorId="0" shapeId="0" xr:uid="{00E2F7F5-FEB6-4A88-837A-FCA4B3FAC4F2}">
      <text>
        <r>
          <rPr>
            <b/>
            <sz val="9"/>
            <color indexed="81"/>
            <rFont val="Tahoma"/>
            <family val="2"/>
          </rPr>
          <t xml:space="preserve">2020. 6. 10. </t>
        </r>
        <r>
          <rPr>
            <b/>
            <sz val="9"/>
            <color indexed="81"/>
            <rFont val="돋움"/>
            <family val="3"/>
            <charset val="129"/>
          </rPr>
          <t>출금붙부터</t>
        </r>
        <r>
          <rPr>
            <b/>
            <sz val="9"/>
            <color indexed="81"/>
            <rFont val="Tahoma"/>
            <family val="2"/>
          </rPr>
          <t xml:space="preserve"> 220,000(VAT </t>
        </r>
        <r>
          <rPr>
            <b/>
            <sz val="9"/>
            <color indexed="81"/>
            <rFont val="돋움"/>
            <family val="3"/>
            <charset val="129"/>
          </rPr>
          <t>포함</t>
        </r>
        <r>
          <rPr>
            <b/>
            <sz val="9"/>
            <color indexed="81"/>
            <rFont val="Tahoma"/>
            <family val="2"/>
          </rPr>
          <t>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노무법인 화랑 컨설팅(02-6104-7010)</author>
    <author/>
  </authors>
  <commentList>
    <comment ref="AE3" authorId="0" shapeId="0" xr:uid="{00000000-0006-0000-0300-000001000000}">
      <text>
        <r>
          <rPr>
            <b/>
            <sz val="9"/>
            <color indexed="81"/>
            <rFont val="돋움"/>
            <family val="3"/>
            <charset val="129"/>
          </rPr>
          <t>기존</t>
        </r>
        <r>
          <rPr>
            <b/>
            <sz val="9"/>
            <color indexed="81"/>
            <rFont val="Tahoma"/>
            <family val="2"/>
          </rPr>
          <t xml:space="preserve">: 55,000
</t>
        </r>
        <r>
          <rPr>
            <b/>
            <sz val="9"/>
            <color indexed="81"/>
            <rFont val="돋움"/>
            <family val="3"/>
            <charset val="129"/>
          </rPr>
          <t>당월</t>
        </r>
        <r>
          <rPr>
            <b/>
            <sz val="9"/>
            <color indexed="81"/>
            <rFont val="Tahoma"/>
            <family val="2"/>
          </rPr>
          <t>: 110,000</t>
        </r>
      </text>
    </comment>
    <comment ref="AO10" authorId="0" shapeId="0" xr:uid="{DC979CFE-038A-4495-9BA4-E2341DBF7D69}">
      <text>
        <r>
          <rPr>
            <b/>
            <sz val="12"/>
            <color indexed="81"/>
            <rFont val="돋움"/>
            <family val="3"/>
            <charset val="129"/>
          </rPr>
          <t>변경전</t>
        </r>
        <r>
          <rPr>
            <b/>
            <sz val="12"/>
            <color indexed="81"/>
            <rFont val="Tahoma"/>
            <family val="2"/>
          </rPr>
          <t xml:space="preserve"> : 100,000
</t>
        </r>
        <r>
          <rPr>
            <b/>
            <sz val="12"/>
            <color indexed="81"/>
            <rFont val="돋움"/>
            <family val="3"/>
            <charset val="129"/>
          </rPr>
          <t>변경후</t>
        </r>
        <r>
          <rPr>
            <b/>
            <sz val="12"/>
            <color indexed="81"/>
            <rFont val="Tahoma"/>
            <family val="2"/>
          </rPr>
          <t xml:space="preserve"> : 150,000</t>
        </r>
      </text>
    </comment>
    <comment ref="M15" authorId="0" shapeId="0" xr:uid="{B103DDE3-896A-42EC-B813-F76176FA578F}">
      <text>
        <r>
          <rPr>
            <b/>
            <sz val="12"/>
            <color indexed="81"/>
            <rFont val="Tahoma"/>
            <family val="2"/>
          </rPr>
          <t xml:space="preserve">2020. 1. 10. </t>
        </r>
        <r>
          <rPr>
            <b/>
            <sz val="12"/>
            <color indexed="81"/>
            <rFont val="돋움"/>
            <family val="3"/>
            <charset val="129"/>
          </rPr>
          <t>출금분부터</t>
        </r>
        <r>
          <rPr>
            <b/>
            <sz val="12"/>
            <color indexed="81"/>
            <rFont val="Tahoma"/>
            <family val="2"/>
          </rPr>
          <t xml:space="preserve"> 300,000</t>
        </r>
        <r>
          <rPr>
            <b/>
            <sz val="12"/>
            <color indexed="81"/>
            <rFont val="돋움"/>
            <family val="3"/>
            <charset val="129"/>
          </rPr>
          <t xml:space="preserve">원
</t>
        </r>
      </text>
    </comment>
    <comment ref="AK15" authorId="0" shapeId="0" xr:uid="{DBE1188D-519C-41A4-B920-06C28D8C6C90}">
      <text>
        <r>
          <rPr>
            <b/>
            <sz val="12"/>
            <color indexed="81"/>
            <rFont val="돋움"/>
            <family val="3"/>
            <charset val="129"/>
          </rPr>
          <t>변경전</t>
        </r>
        <r>
          <rPr>
            <b/>
            <sz val="12"/>
            <color indexed="81"/>
            <rFont val="Tahoma"/>
            <family val="2"/>
          </rPr>
          <t xml:space="preserve"> : 220,000
</t>
        </r>
        <r>
          <rPr>
            <b/>
            <sz val="12"/>
            <color indexed="81"/>
            <rFont val="돋움"/>
            <family val="3"/>
            <charset val="129"/>
          </rPr>
          <t>변경후</t>
        </r>
        <r>
          <rPr>
            <b/>
            <sz val="12"/>
            <color indexed="81"/>
            <rFont val="Tahoma"/>
            <family val="2"/>
          </rPr>
          <t xml:space="preserve"> : 330,000
</t>
        </r>
      </text>
    </comment>
    <comment ref="AA17" authorId="0" shapeId="0" xr:uid="{00000000-0006-0000-0300-000002000000}">
      <text>
        <r>
          <rPr>
            <b/>
            <sz val="9"/>
            <color indexed="81"/>
            <rFont val="돋움"/>
            <family val="3"/>
            <charset val="129"/>
          </rPr>
          <t>기존</t>
        </r>
        <r>
          <rPr>
            <b/>
            <sz val="9"/>
            <color indexed="81"/>
            <rFont val="Tahoma"/>
            <family val="2"/>
          </rPr>
          <t xml:space="preserve">: 110,000
</t>
        </r>
        <r>
          <rPr>
            <b/>
            <sz val="9"/>
            <color indexed="81"/>
            <rFont val="돋움"/>
            <family val="3"/>
            <charset val="129"/>
          </rPr>
          <t>당월</t>
        </r>
        <r>
          <rPr>
            <b/>
            <sz val="9"/>
            <color indexed="81"/>
            <rFont val="Tahoma"/>
            <family val="2"/>
          </rPr>
          <t>: 132,000</t>
        </r>
      </text>
    </comment>
    <comment ref="N21" authorId="1" shapeId="0" xr:uid="{00000000-0006-0000-0300-000003000000}">
      <text>
        <r>
          <rPr>
            <sz val="11"/>
            <color rgb="FF000000"/>
            <rFont val="맑은 고딕"/>
            <family val="3"/>
            <charset val="129"/>
          </rPr>
          <t>9월 수수료는 9월 말일 입금되어야 하나, 계속되는 잔액부족이 발생함에 따라, 지급일을 15일로 변경함
9월 수수료-&gt;10월 15일 납부로 변경</t>
        </r>
      </text>
    </comment>
    <comment ref="AC26" authorId="0" shapeId="0" xr:uid="{00000000-0006-0000-0300-000004000000}">
      <text>
        <r>
          <rPr>
            <b/>
            <sz val="9"/>
            <color indexed="81"/>
            <rFont val="돋움"/>
            <family val="3"/>
            <charset val="129"/>
          </rPr>
          <t>기존</t>
        </r>
        <r>
          <rPr>
            <b/>
            <sz val="9"/>
            <color indexed="81"/>
            <rFont val="Tahoma"/>
            <family val="2"/>
          </rPr>
          <t xml:space="preserve">: 110,000
</t>
        </r>
        <r>
          <rPr>
            <b/>
            <sz val="9"/>
            <color indexed="81"/>
            <rFont val="돋움"/>
            <family val="3"/>
            <charset val="129"/>
          </rPr>
          <t>당월</t>
        </r>
        <r>
          <rPr>
            <b/>
            <sz val="9"/>
            <color indexed="81"/>
            <rFont val="Tahoma"/>
            <family val="2"/>
          </rPr>
          <t>: 143,000</t>
        </r>
      </text>
    </comment>
    <comment ref="AI27" authorId="0" shapeId="0" xr:uid="{A1856601-CB63-44E1-B0DB-1D92D285D2A9}">
      <text>
        <r>
          <rPr>
            <sz val="9"/>
            <color indexed="81"/>
            <rFont val="돋움"/>
            <family val="3"/>
            <charset val="129"/>
          </rPr>
          <t>변경전</t>
        </r>
        <r>
          <rPr>
            <sz val="9"/>
            <color indexed="81"/>
            <rFont val="Tahoma"/>
            <family val="2"/>
          </rPr>
          <t xml:space="preserve"> : 110,000
</t>
        </r>
        <r>
          <rPr>
            <sz val="9"/>
            <color indexed="81"/>
            <rFont val="돋움"/>
            <family val="3"/>
            <charset val="129"/>
          </rPr>
          <t>변경후</t>
        </r>
        <r>
          <rPr>
            <sz val="9"/>
            <color indexed="81"/>
            <rFont val="Tahoma"/>
            <family val="2"/>
          </rPr>
          <t xml:space="preserve"> : 165,000
</t>
        </r>
      </text>
    </comment>
    <comment ref="AI40" authorId="0" shapeId="0" xr:uid="{00000000-0006-0000-0300-000005000000}">
      <text>
        <r>
          <rPr>
            <b/>
            <sz val="9"/>
            <color indexed="81"/>
            <rFont val="돋움"/>
            <family val="3"/>
            <charset val="129"/>
          </rPr>
          <t>기존</t>
        </r>
        <r>
          <rPr>
            <b/>
            <sz val="9"/>
            <color indexed="81"/>
            <rFont val="Tahoma"/>
            <family val="2"/>
          </rPr>
          <t xml:space="preserve"> : 100,000
'19.11.~20.10.  : 15</t>
        </r>
        <r>
          <rPr>
            <b/>
            <sz val="9"/>
            <color indexed="81"/>
            <rFont val="돋움"/>
            <family val="3"/>
            <charset val="129"/>
          </rPr>
          <t xml:space="preserve">만
</t>
        </r>
        <r>
          <rPr>
            <b/>
            <sz val="9"/>
            <color indexed="81"/>
            <rFont val="Tahoma"/>
            <family val="2"/>
          </rPr>
          <t>'20.11.~21.10.  : 20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A45" authorId="0" shapeId="0" xr:uid="{00000000-0006-0000-0300-000006000000}">
      <text>
        <r>
          <rPr>
            <b/>
            <sz val="9"/>
            <color indexed="81"/>
            <rFont val="돋움"/>
            <family val="3"/>
            <charset val="129"/>
          </rPr>
          <t>기존</t>
        </r>
        <r>
          <rPr>
            <b/>
            <sz val="9"/>
            <color indexed="81"/>
            <rFont val="Tahoma"/>
            <family val="2"/>
          </rPr>
          <t xml:space="preserve">: 110,000
</t>
        </r>
        <r>
          <rPr>
            <b/>
            <sz val="9"/>
            <color indexed="81"/>
            <rFont val="돋움"/>
            <family val="3"/>
            <charset val="129"/>
          </rPr>
          <t>당월</t>
        </r>
        <r>
          <rPr>
            <b/>
            <sz val="9"/>
            <color indexed="81"/>
            <rFont val="Tahoma"/>
            <family val="2"/>
          </rPr>
          <t>: 165,000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N19" authorId="0" shapeId="0" xr:uid="{00000000-0006-0000-0400-000001000000}">
      <text>
        <r>
          <rPr>
            <sz val="11"/>
            <color rgb="FF000000"/>
            <rFont val="맑은 고딕"/>
            <family val="3"/>
            <charset val="129"/>
          </rPr>
          <t>9월 수수료는 9월 말일 입금되어야 하나, 계속되는 잔액부족이 발생함에 따라, 지급일을 15일로 변경함
9월 수수료-&gt;10월 15일 납부로 변경</t>
        </r>
      </text>
    </comment>
  </commentList>
</comments>
</file>

<file path=xl/sharedStrings.xml><?xml version="1.0" encoding="utf-8"?>
<sst xmlns="http://schemas.openxmlformats.org/spreadsheetml/2006/main" count="3321" uniqueCount="618">
  <si>
    <t>번호</t>
  </si>
  <si>
    <t>사업장명</t>
  </si>
  <si>
    <t>사업자등록번호</t>
  </si>
  <si>
    <t>계약기간</t>
  </si>
  <si>
    <t>특이사항</t>
  </si>
  <si>
    <t>임금계산기간</t>
  </si>
  <si>
    <t>임금지급일</t>
  </si>
  <si>
    <t>수수료</t>
  </si>
  <si>
    <t>한국소화화학품㈜</t>
  </si>
  <si>
    <t>승민사</t>
  </si>
  <si>
    <t>더조은요양병원</t>
  </si>
  <si>
    <t>홍정양행</t>
  </si>
  <si>
    <t>24시수유바른펫</t>
  </si>
  <si>
    <t>㈜티엑스</t>
  </si>
  <si>
    <t>스카이요양병원</t>
  </si>
  <si>
    <t>아이-센세이션</t>
  </si>
  <si>
    <t>해암 요양병원</t>
  </si>
  <si>
    <t>퍼스트 요양병원</t>
  </si>
  <si>
    <t>제이플㈜</t>
  </si>
  <si>
    <t>㈜서울이푸드</t>
  </si>
  <si>
    <t>㈜체리판매</t>
  </si>
  <si>
    <t>햇살맑은집</t>
  </si>
  <si>
    <t>㈜동화속나무</t>
  </si>
  <si>
    <t>블루오션</t>
  </si>
  <si>
    <t>㈜해피텐</t>
  </si>
  <si>
    <t>월계마트(02-991-7997)</t>
  </si>
  <si>
    <t>나누고더하기</t>
  </si>
  <si>
    <t>큐52㈜</t>
  </si>
  <si>
    <t>㈜고려상사</t>
  </si>
  <si>
    <t>우성실업(분당주유소)</t>
  </si>
  <si>
    <t>조선시대</t>
  </si>
  <si>
    <t>㈜베타인</t>
  </si>
  <si>
    <t>㈜스카우트앤</t>
  </si>
  <si>
    <t>(주)조인어패럴</t>
  </si>
  <si>
    <t>대한상사</t>
  </si>
  <si>
    <t>번동마트</t>
  </si>
  <si>
    <t>옥천암</t>
  </si>
  <si>
    <t>르씨엘모텔</t>
  </si>
  <si>
    <t>시온(02-999-5684)</t>
  </si>
  <si>
    <t>영수네감자국</t>
  </si>
  <si>
    <t>잼파파(수유점)</t>
  </si>
  <si>
    <t>㈜헤르지아</t>
  </si>
  <si>
    <t>㈜초램에프앤비</t>
  </si>
  <si>
    <t>다미인</t>
  </si>
  <si>
    <t>㈜유에스몰코리아</t>
  </si>
  <si>
    <t>은나무요양병원</t>
  </si>
  <si>
    <t>구분</t>
  </si>
  <si>
    <t>상호명</t>
  </si>
  <si>
    <t>수금방식</t>
  </si>
  <si>
    <t>임금산정기한</t>
  </si>
  <si>
    <t>임금지급</t>
  </si>
  <si>
    <t>금액</t>
  </si>
  <si>
    <t>지급일</t>
  </si>
  <si>
    <t>1</t>
  </si>
  <si>
    <t>미수금 계</t>
  </si>
  <si>
    <t>부터</t>
  </si>
  <si>
    <t>까지</t>
  </si>
  <si>
    <t>계약기산</t>
  </si>
  <si>
    <t>계약만료</t>
  </si>
  <si>
    <t>계약상태</t>
  </si>
  <si>
    <t>공급액</t>
  </si>
  <si>
    <t>부가세</t>
  </si>
  <si>
    <t>총계</t>
  </si>
  <si>
    <t>계산서</t>
  </si>
  <si>
    <t>210-22-85840</t>
  </si>
  <si>
    <t>자동이체</t>
  </si>
  <si>
    <t>초일</t>
  </si>
  <si>
    <t>말일</t>
  </si>
  <si>
    <t>계속</t>
  </si>
  <si>
    <t>210-81-38456</t>
  </si>
  <si>
    <t>CMS</t>
  </si>
  <si>
    <t>110-43-34968</t>
  </si>
  <si>
    <t>731-81-00137</t>
  </si>
  <si>
    <t>2019-6-31</t>
  </si>
  <si>
    <t>119-96-01081</t>
  </si>
  <si>
    <t>209-81-59470</t>
  </si>
  <si>
    <t>210-50-60783</t>
  </si>
  <si>
    <t>508-09-44771</t>
  </si>
  <si>
    <t>286-13-00735</t>
  </si>
  <si>
    <t>732-91-00686</t>
  </si>
  <si>
    <t>128-87-02947</t>
  </si>
  <si>
    <t>210-13-89960</t>
  </si>
  <si>
    <t>210-36-40234</t>
  </si>
  <si>
    <t>421-18-00459</t>
  </si>
  <si>
    <t>433-88-00659</t>
  </si>
  <si>
    <t>220-87-34406</t>
  </si>
  <si>
    <t>청 구</t>
  </si>
  <si>
    <t>127-46-80442</t>
  </si>
  <si>
    <t>127-29-41383</t>
  </si>
  <si>
    <t>470-90-00461</t>
  </si>
  <si>
    <t>110-89-01505</t>
  </si>
  <si>
    <t>738-86-00579</t>
  </si>
  <si>
    <t>210-81-75072</t>
  </si>
  <si>
    <t>204-86-33669</t>
  </si>
  <si>
    <t>407-99-00433</t>
  </si>
  <si>
    <t>127-81-44641</t>
  </si>
  <si>
    <t>210-17-10952</t>
  </si>
  <si>
    <t>616-05-98681</t>
  </si>
  <si>
    <t>217-05-71205
(911-01-29475-1)</t>
  </si>
  <si>
    <t>206-93-73234</t>
  </si>
  <si>
    <t>208-81-28391</t>
  </si>
  <si>
    <t>209-81-46752</t>
  </si>
  <si>
    <t>210-81-64589</t>
  </si>
  <si>
    <t>210-07-76601</t>
  </si>
  <si>
    <t>641-87-00345</t>
  </si>
  <si>
    <t>113-09-68390</t>
  </si>
  <si>
    <t>127-81-84338</t>
  </si>
  <si>
    <t>748-80-00706</t>
  </si>
  <si>
    <t>계</t>
  </si>
  <si>
    <t>1.10.</t>
  </si>
  <si>
    <t>1.10</t>
  </si>
  <si>
    <t>2.10</t>
  </si>
  <si>
    <t>2.12.</t>
  </si>
  <si>
    <t>3.20.</t>
  </si>
  <si>
    <t>4.13.</t>
  </si>
  <si>
    <t>4.18.</t>
  </si>
  <si>
    <t>5.14.</t>
  </si>
  <si>
    <t>6.5.</t>
  </si>
  <si>
    <t>7.3.</t>
  </si>
  <si>
    <t>8.7.</t>
  </si>
  <si>
    <t>9.3.</t>
  </si>
  <si>
    <t>10.2.</t>
  </si>
  <si>
    <t>11.2.</t>
  </si>
  <si>
    <t>11.3.</t>
  </si>
  <si>
    <t>12.3.</t>
  </si>
  <si>
    <t>2.7</t>
  </si>
  <si>
    <t>3.5.</t>
  </si>
  <si>
    <t>3.7.</t>
  </si>
  <si>
    <t>4.5.</t>
  </si>
  <si>
    <t>4.11.</t>
  </si>
  <si>
    <t>5.8.</t>
  </si>
  <si>
    <t>5.10.</t>
  </si>
  <si>
    <t>6.8.</t>
  </si>
  <si>
    <t>7.5.</t>
  </si>
  <si>
    <t>7.10.</t>
  </si>
  <si>
    <t>8.5.</t>
  </si>
  <si>
    <t>8.8.</t>
  </si>
  <si>
    <t>9.5</t>
  </si>
  <si>
    <t>9.7.</t>
  </si>
  <si>
    <t>10.5.</t>
  </si>
  <si>
    <t>10.8.</t>
  </si>
  <si>
    <t>11.5.</t>
  </si>
  <si>
    <t>11.7.</t>
  </si>
  <si>
    <t>12.5.</t>
  </si>
  <si>
    <t>12.12.</t>
  </si>
  <si>
    <t>2.12</t>
  </si>
  <si>
    <t>3.12</t>
  </si>
  <si>
    <t>4.10.</t>
  </si>
  <si>
    <t>6.10.</t>
  </si>
  <si>
    <t>6.11.</t>
  </si>
  <si>
    <t>8.10.</t>
  </si>
  <si>
    <t>9.10.</t>
  </si>
  <si>
    <t>10.10.</t>
  </si>
  <si>
    <t>11.12.</t>
  </si>
  <si>
    <t>12.10.</t>
  </si>
  <si>
    <t>1.15.</t>
  </si>
  <si>
    <t>2.20.</t>
  </si>
  <si>
    <t>3.12.</t>
  </si>
  <si>
    <t>3.14.</t>
  </si>
  <si>
    <t>4.12.</t>
  </si>
  <si>
    <t>6.14.</t>
  </si>
  <si>
    <t>7.12.</t>
  </si>
  <si>
    <t>8.13.</t>
  </si>
  <si>
    <t>9.14.</t>
  </si>
  <si>
    <t>10.16.</t>
  </si>
  <si>
    <t>11.15.</t>
  </si>
  <si>
    <t>5.15.</t>
  </si>
  <si>
    <t>5.18.</t>
  </si>
  <si>
    <t>10.15.</t>
  </si>
  <si>
    <t>10.18</t>
  </si>
  <si>
    <t>9.5.</t>
  </si>
  <si>
    <t>1.17.</t>
  </si>
  <si>
    <t>2.19</t>
  </si>
  <si>
    <t>2.21</t>
  </si>
  <si>
    <t>3.15.</t>
  </si>
  <si>
    <t>4.16.</t>
  </si>
  <si>
    <t>6.15.</t>
  </si>
  <si>
    <t>6.18.</t>
  </si>
  <si>
    <t>7.16.</t>
  </si>
  <si>
    <t>7.20.</t>
  </si>
  <si>
    <t>8.16.</t>
  </si>
  <si>
    <t>8.21.</t>
  </si>
  <si>
    <t>9.17.</t>
  </si>
  <si>
    <t>9.19.</t>
  </si>
  <si>
    <t>10.15</t>
  </si>
  <si>
    <t>11.16.</t>
  </si>
  <si>
    <t>11.19.</t>
  </si>
  <si>
    <t>12.17</t>
  </si>
  <si>
    <t>12.20</t>
  </si>
  <si>
    <t>2.26.</t>
  </si>
  <si>
    <t>3.2.</t>
  </si>
  <si>
    <t>4.20.</t>
  </si>
  <si>
    <t>4.15</t>
  </si>
  <si>
    <t>6.20.</t>
  </si>
  <si>
    <t>7.25.</t>
  </si>
  <si>
    <t>7.15.</t>
  </si>
  <si>
    <t>8.20.</t>
  </si>
  <si>
    <t>9.21.</t>
  </si>
  <si>
    <t>10.25.</t>
  </si>
  <si>
    <t>11.23.</t>
  </si>
  <si>
    <t>12.27.</t>
  </si>
  <si>
    <t>12.20.</t>
  </si>
  <si>
    <t>4.30.</t>
  </si>
  <si>
    <t>5.3.</t>
  </si>
  <si>
    <t>8.14.</t>
  </si>
  <si>
    <t>4.23.</t>
  </si>
  <si>
    <t>5.21.</t>
  </si>
  <si>
    <t>5.24.</t>
  </si>
  <si>
    <t>6.27.</t>
  </si>
  <si>
    <t>6.28</t>
  </si>
  <si>
    <t>7.23.</t>
  </si>
  <si>
    <t>8.22.</t>
  </si>
  <si>
    <t>9.20.</t>
  </si>
  <si>
    <t>9.27.</t>
  </si>
  <si>
    <t>10.22.</t>
  </si>
  <si>
    <t>10.24.</t>
  </si>
  <si>
    <t>11.22.</t>
  </si>
  <si>
    <t>12.24.</t>
  </si>
  <si>
    <t>1.22.</t>
  </si>
  <si>
    <t>2.20</t>
  </si>
  <si>
    <t>2.22</t>
  </si>
  <si>
    <t>3.22.</t>
  </si>
  <si>
    <t>6.25.</t>
  </si>
  <si>
    <t>용궁</t>
  </si>
  <si>
    <t>548-46-00233</t>
  </si>
  <si>
    <t>해지</t>
  </si>
  <si>
    <t>2.7.</t>
  </si>
  <si>
    <t>1.29</t>
  </si>
  <si>
    <t>3.26</t>
  </si>
  <si>
    <t>3.29</t>
  </si>
  <si>
    <t>4.25.</t>
  </si>
  <si>
    <t>5.25.</t>
  </si>
  <si>
    <t>7.30.</t>
  </si>
  <si>
    <t>8.27.</t>
  </si>
  <si>
    <t>8.30.</t>
  </si>
  <si>
    <t>10.1.</t>
  </si>
  <si>
    <t>10.29.</t>
  </si>
  <si>
    <t>11.26.</t>
  </si>
  <si>
    <t>11.28.</t>
  </si>
  <si>
    <t>12.26.</t>
  </si>
  <si>
    <t>12.31.</t>
  </si>
  <si>
    <t>유시원마취통증의학과</t>
  </si>
  <si>
    <t>402-97-00846</t>
  </si>
  <si>
    <t>1.29.</t>
  </si>
  <si>
    <t>1.24.</t>
  </si>
  <si>
    <t>2.23.</t>
  </si>
  <si>
    <t>2.21.</t>
  </si>
  <si>
    <t>4.6.</t>
  </si>
  <si>
    <t>3.28.</t>
  </si>
  <si>
    <t>4.26.</t>
  </si>
  <si>
    <t>5.28.</t>
  </si>
  <si>
    <t>5.25</t>
  </si>
  <si>
    <t>7.26.</t>
  </si>
  <si>
    <t>12.7.</t>
  </si>
  <si>
    <t>11.27.</t>
  </si>
  <si>
    <t>1.30.</t>
  </si>
  <si>
    <t>2.25.</t>
  </si>
  <si>
    <t>3.28</t>
  </si>
  <si>
    <t>5.30.</t>
  </si>
  <si>
    <t>6.28.</t>
  </si>
  <si>
    <t>6.29.</t>
  </si>
  <si>
    <t>7.31.</t>
  </si>
  <si>
    <t>8.25.</t>
  </si>
  <si>
    <t>9.28.</t>
  </si>
  <si>
    <t>11.25.</t>
  </si>
  <si>
    <t>1.23</t>
  </si>
  <si>
    <t>2.27.</t>
  </si>
  <si>
    <t>3.30.</t>
  </si>
  <si>
    <t>4.29.</t>
  </si>
  <si>
    <t>10.23.</t>
  </si>
  <si>
    <t>7.2.</t>
  </si>
  <si>
    <t>7.6.</t>
  </si>
  <si>
    <t>1.31.</t>
  </si>
  <si>
    <t>2.2.</t>
  </si>
  <si>
    <t>2.28.</t>
  </si>
  <si>
    <t>4.2.</t>
  </si>
  <si>
    <t>5.2.</t>
  </si>
  <si>
    <t>6.30.</t>
  </si>
  <si>
    <t>8.31.</t>
  </si>
  <si>
    <t>10.31.</t>
  </si>
  <si>
    <t>11.30.</t>
  </si>
  <si>
    <t>12.31</t>
  </si>
  <si>
    <t>2.1.</t>
  </si>
  <si>
    <t>3.30</t>
  </si>
  <si>
    <t>6.4.</t>
  </si>
  <si>
    <t>8.1.</t>
  </si>
  <si>
    <t>9.3</t>
  </si>
  <si>
    <t>10.30.</t>
  </si>
  <si>
    <t>11.1.</t>
  </si>
  <si>
    <t>5.31.</t>
  </si>
  <si>
    <t>9.29.</t>
  </si>
  <si>
    <t>8.2.</t>
  </si>
  <si>
    <t>명태명가</t>
  </si>
  <si>
    <t>229-08-00984</t>
  </si>
  <si>
    <t>12.10</t>
  </si>
  <si>
    <t>12.12</t>
  </si>
  <si>
    <t>S마트번동점</t>
  </si>
  <si>
    <t>12.11</t>
  </si>
  <si>
    <t>10일</t>
  </si>
  <si>
    <t>12.18</t>
  </si>
  <si>
    <t>8.18.</t>
  </si>
  <si>
    <t>15일</t>
  </si>
  <si>
    <t>14일</t>
  </si>
  <si>
    <t>큐51</t>
  </si>
  <si>
    <t>31일</t>
  </si>
  <si>
    <t>12.22</t>
  </si>
  <si>
    <t>12.22.</t>
  </si>
  <si>
    <t>25일</t>
  </si>
  <si>
    <t>24일</t>
  </si>
  <si>
    <t>12.26</t>
  </si>
  <si>
    <t>12.29</t>
  </si>
  <si>
    <t>1.2.</t>
  </si>
  <si>
    <t>1.4</t>
  </si>
  <si>
    <t>5일</t>
  </si>
  <si>
    <t>8.3.</t>
  </si>
  <si>
    <t>시온관리</t>
  </si>
  <si>
    <t>자동이체
(청구)</t>
  </si>
  <si>
    <t>12.28</t>
  </si>
  <si>
    <t>1.2</t>
  </si>
  <si>
    <t>11.30</t>
  </si>
  <si>
    <t>12.5</t>
  </si>
  <si>
    <t>12.1</t>
  </si>
  <si>
    <t>자문/임금아웃소싱 계약조건표</t>
  </si>
  <si>
    <r>
      <t>1</t>
    </r>
    <r>
      <rPr>
        <sz val="11"/>
        <color rgb="FF000000"/>
        <rFont val="맑은 고딕"/>
        <family val="3"/>
        <charset val="129"/>
      </rPr>
      <t>.10.</t>
    </r>
    <phoneticPr fontId="13" type="noConversion"/>
  </si>
  <si>
    <r>
      <t>0</t>
    </r>
    <r>
      <rPr>
        <sz val="11"/>
        <color rgb="FF000000"/>
        <rFont val="맑은 고딕"/>
        <family val="3"/>
        <charset val="129"/>
      </rPr>
      <t>1-01</t>
    </r>
    <phoneticPr fontId="13" type="noConversion"/>
  </si>
  <si>
    <r>
      <t>0</t>
    </r>
    <r>
      <rPr>
        <sz val="11"/>
        <color rgb="FF000000"/>
        <rFont val="맑은 고딕"/>
        <family val="3"/>
        <charset val="129"/>
      </rPr>
      <t>1-07</t>
    </r>
    <phoneticPr fontId="13" type="noConversion"/>
  </si>
  <si>
    <r>
      <t>0</t>
    </r>
    <r>
      <rPr>
        <sz val="11"/>
        <color rgb="FF000000"/>
        <rFont val="맑은 고딕"/>
        <family val="3"/>
        <charset val="129"/>
      </rPr>
      <t>1-10</t>
    </r>
    <phoneticPr fontId="13" type="noConversion"/>
  </si>
  <si>
    <r>
      <t>0</t>
    </r>
    <r>
      <rPr>
        <sz val="11"/>
        <color rgb="FF000000"/>
        <rFont val="맑은 고딕"/>
        <family val="3"/>
        <charset val="129"/>
      </rPr>
      <t>1-14</t>
    </r>
    <phoneticPr fontId="13" type="noConversion"/>
  </si>
  <si>
    <r>
      <t>0</t>
    </r>
    <r>
      <rPr>
        <sz val="11"/>
        <color rgb="FF000000"/>
        <rFont val="맑은 고딕"/>
        <family val="3"/>
        <charset val="129"/>
      </rPr>
      <t>1-03</t>
    </r>
    <phoneticPr fontId="13" type="noConversion"/>
  </si>
  <si>
    <r>
      <t>0</t>
    </r>
    <r>
      <rPr>
        <sz val="11"/>
        <color rgb="FF000000"/>
        <rFont val="맑은 고딕"/>
        <family val="3"/>
        <charset val="129"/>
      </rPr>
      <t>1-15</t>
    </r>
    <phoneticPr fontId="13" type="noConversion"/>
  </si>
  <si>
    <r>
      <t>0</t>
    </r>
    <r>
      <rPr>
        <sz val="11"/>
        <color rgb="FF000000"/>
        <rFont val="맑은 고딕"/>
        <family val="3"/>
        <charset val="129"/>
      </rPr>
      <t>1-18</t>
    </r>
    <phoneticPr fontId="13" type="noConversion"/>
  </si>
  <si>
    <t>해암 요양원</t>
    <phoneticPr fontId="16" type="noConversion"/>
  </si>
  <si>
    <t>530-80-01249</t>
    <phoneticPr fontId="16" type="noConversion"/>
  </si>
  <si>
    <t>CMS</t>
    <phoneticPr fontId="16" type="noConversion"/>
  </si>
  <si>
    <t>초일</t>
    <phoneticPr fontId="16" type="noConversion"/>
  </si>
  <si>
    <t>말일</t>
    <phoneticPr fontId="16" type="noConversion"/>
  </si>
  <si>
    <t>계속</t>
    <phoneticPr fontId="16" type="noConversion"/>
  </si>
  <si>
    <t>㈜청우푸드</t>
    <phoneticPr fontId="16" type="noConversion"/>
  </si>
  <si>
    <t>217-81-34257</t>
    <phoneticPr fontId="16" type="noConversion"/>
  </si>
  <si>
    <t>해암 요양원</t>
    <phoneticPr fontId="13" type="noConversion"/>
  </si>
  <si>
    <t>㈜청우푸드</t>
    <phoneticPr fontId="13" type="noConversion"/>
  </si>
  <si>
    <r>
      <t>0</t>
    </r>
    <r>
      <rPr>
        <sz val="11"/>
        <color rgb="FF000000"/>
        <rFont val="맑은 고딕"/>
        <family val="3"/>
        <charset val="129"/>
      </rPr>
      <t>1-21</t>
    </r>
    <phoneticPr fontId="13" type="noConversion"/>
  </si>
  <si>
    <r>
      <t>0</t>
    </r>
    <r>
      <rPr>
        <sz val="11"/>
        <color rgb="FF000000"/>
        <rFont val="맑은 고딕"/>
        <family val="3"/>
        <charset val="129"/>
      </rPr>
      <t>1-23</t>
    </r>
    <phoneticPr fontId="13" type="noConversion"/>
  </si>
  <si>
    <r>
      <t>0</t>
    </r>
    <r>
      <rPr>
        <sz val="11"/>
        <color rgb="FF000000"/>
        <rFont val="맑은 고딕"/>
        <family val="3"/>
        <charset val="129"/>
      </rPr>
      <t>1-24</t>
    </r>
    <r>
      <rPr>
        <sz val="11"/>
        <color theme="1"/>
        <rFont val="맑은 고딕"/>
        <family val="2"/>
        <charset val="129"/>
        <scheme val="minor"/>
      </rPr>
      <t/>
    </r>
  </si>
  <si>
    <r>
      <t>0</t>
    </r>
    <r>
      <rPr>
        <sz val="11"/>
        <color rgb="FF000000"/>
        <rFont val="맑은 고딕"/>
        <family val="3"/>
        <charset val="129"/>
      </rPr>
      <t>1-25</t>
    </r>
    <r>
      <rPr>
        <sz val="11"/>
        <color theme="1"/>
        <rFont val="맑은 고딕"/>
        <family val="2"/>
        <charset val="129"/>
        <scheme val="minor"/>
      </rPr>
      <t/>
    </r>
  </si>
  <si>
    <r>
      <t>0</t>
    </r>
    <r>
      <rPr>
        <sz val="11"/>
        <color rgb="FF000000"/>
        <rFont val="맑은 고딕"/>
        <family val="3"/>
        <charset val="129"/>
      </rPr>
      <t>1-26</t>
    </r>
    <r>
      <rPr>
        <sz val="11"/>
        <color theme="1"/>
        <rFont val="맑은 고딕"/>
        <family val="2"/>
        <charset val="129"/>
        <scheme val="minor"/>
      </rPr>
      <t/>
    </r>
  </si>
  <si>
    <r>
      <t>0</t>
    </r>
    <r>
      <rPr>
        <sz val="11"/>
        <color rgb="FF000000"/>
        <rFont val="맑은 고딕"/>
        <family val="3"/>
        <charset val="129"/>
      </rPr>
      <t>1-27</t>
    </r>
    <r>
      <rPr>
        <sz val="11"/>
        <color theme="1"/>
        <rFont val="맑은 고딕"/>
        <family val="2"/>
        <charset val="129"/>
        <scheme val="minor"/>
      </rPr>
      <t/>
    </r>
  </si>
  <si>
    <r>
      <t>0</t>
    </r>
    <r>
      <rPr>
        <sz val="11"/>
        <color rgb="FF000000"/>
        <rFont val="맑은 고딕"/>
        <family val="3"/>
        <charset val="129"/>
      </rPr>
      <t>1-28</t>
    </r>
    <r>
      <rPr>
        <sz val="11"/>
        <color theme="1"/>
        <rFont val="맑은 고딕"/>
        <family val="2"/>
        <charset val="129"/>
        <scheme val="minor"/>
      </rPr>
      <t/>
    </r>
  </si>
  <si>
    <r>
      <t>0</t>
    </r>
    <r>
      <rPr>
        <sz val="11"/>
        <color rgb="FF000000"/>
        <rFont val="맑은 고딕"/>
        <family val="3"/>
        <charset val="129"/>
      </rPr>
      <t>1-29</t>
    </r>
    <r>
      <rPr>
        <sz val="11"/>
        <color theme="1"/>
        <rFont val="맑은 고딕"/>
        <family val="2"/>
        <charset val="129"/>
        <scheme val="minor"/>
      </rPr>
      <t/>
    </r>
  </si>
  <si>
    <r>
      <t>0</t>
    </r>
    <r>
      <rPr>
        <sz val="11"/>
        <color rgb="FF000000"/>
        <rFont val="맑은 고딕"/>
        <family val="3"/>
        <charset val="129"/>
      </rPr>
      <t>1-25</t>
    </r>
    <phoneticPr fontId="13" type="noConversion"/>
  </si>
  <si>
    <r>
      <t>0</t>
    </r>
    <r>
      <rPr>
        <sz val="11"/>
        <color rgb="FF000000"/>
        <rFont val="맑은 고딕"/>
        <family val="3"/>
        <charset val="129"/>
      </rPr>
      <t>1-24</t>
    </r>
    <phoneticPr fontId="13" type="noConversion"/>
  </si>
  <si>
    <r>
      <t>0</t>
    </r>
    <r>
      <rPr>
        <sz val="11"/>
        <color rgb="FF000000"/>
        <rFont val="맑은 고딕"/>
        <family val="3"/>
        <charset val="129"/>
      </rPr>
      <t>1-25</t>
    </r>
    <phoneticPr fontId="13" type="noConversion"/>
  </si>
  <si>
    <t>01-28</t>
    <phoneticPr fontId="13" type="noConversion"/>
  </si>
  <si>
    <r>
      <t>0</t>
    </r>
    <r>
      <rPr>
        <sz val="11"/>
        <color rgb="FF000000"/>
        <rFont val="맑은 고딕"/>
        <family val="3"/>
        <charset val="129"/>
      </rPr>
      <t>1-28</t>
    </r>
    <phoneticPr fontId="13" type="noConversion"/>
  </si>
  <si>
    <r>
      <t>0</t>
    </r>
    <r>
      <rPr>
        <sz val="11"/>
        <color rgb="FF000000"/>
        <rFont val="맑은 고딕"/>
        <family val="3"/>
        <charset val="129"/>
      </rPr>
      <t>2-11</t>
    </r>
    <phoneticPr fontId="13" type="noConversion"/>
  </si>
  <si>
    <r>
      <t>0</t>
    </r>
    <r>
      <rPr>
        <sz val="11"/>
        <color rgb="FF000000"/>
        <rFont val="맑은 고딕"/>
        <family val="3"/>
        <charset val="129"/>
      </rPr>
      <t>2-01</t>
    </r>
    <phoneticPr fontId="13" type="noConversion"/>
  </si>
  <si>
    <r>
      <t>1</t>
    </r>
    <r>
      <rPr>
        <sz val="11"/>
        <color rgb="FF000000"/>
        <rFont val="맑은 고딕"/>
        <family val="3"/>
        <charset val="129"/>
      </rPr>
      <t>-31</t>
    </r>
    <phoneticPr fontId="13" type="noConversion"/>
  </si>
  <si>
    <r>
      <t>0</t>
    </r>
    <r>
      <rPr>
        <sz val="11"/>
        <color rgb="FF000000"/>
        <rFont val="맑은 고딕"/>
        <family val="3"/>
        <charset val="129"/>
      </rPr>
      <t>2-23</t>
    </r>
    <phoneticPr fontId="13" type="noConversion"/>
  </si>
  <si>
    <r>
      <t>0</t>
    </r>
    <r>
      <rPr>
        <sz val="11"/>
        <color rgb="FF000000"/>
        <rFont val="맑은 고딕"/>
        <family val="3"/>
        <charset val="129"/>
      </rPr>
      <t>2-07</t>
    </r>
    <phoneticPr fontId="13" type="noConversion"/>
  </si>
  <si>
    <r>
      <t>0</t>
    </r>
    <r>
      <rPr>
        <sz val="11"/>
        <color rgb="FF000000"/>
        <rFont val="맑은 고딕"/>
        <family val="3"/>
        <charset val="129"/>
      </rPr>
      <t>2-15</t>
    </r>
    <phoneticPr fontId="13" type="noConversion"/>
  </si>
  <si>
    <r>
      <t>0</t>
    </r>
    <r>
      <rPr>
        <sz val="11"/>
        <color rgb="FF000000"/>
        <rFont val="맑은 고딕"/>
        <family val="3"/>
        <charset val="129"/>
      </rPr>
      <t>2-20</t>
    </r>
    <phoneticPr fontId="13" type="noConversion"/>
  </si>
  <si>
    <r>
      <t>3월</t>
    </r>
    <r>
      <rPr>
        <sz val="11"/>
        <color rgb="FF000000"/>
        <rFont val="맑은 고딕"/>
        <family val="3"/>
        <charset val="129"/>
      </rPr>
      <t xml:space="preserve"> 10일</t>
    </r>
    <phoneticPr fontId="13" type="noConversion"/>
  </si>
  <si>
    <t>2월 말일</t>
    <phoneticPr fontId="13" type="noConversion"/>
  </si>
  <si>
    <t>3월 20일</t>
    <phoneticPr fontId="13" type="noConversion"/>
  </si>
  <si>
    <t>금액</t>
    <phoneticPr fontId="13" type="noConversion"/>
  </si>
  <si>
    <t>청구금액</t>
    <phoneticPr fontId="13" type="noConversion"/>
  </si>
  <si>
    <r>
      <t>1</t>
    </r>
    <r>
      <rPr>
        <sz val="11"/>
        <color rgb="FF000000"/>
        <rFont val="맑은 고딕"/>
        <family val="3"/>
        <charset val="129"/>
      </rPr>
      <t>0일</t>
    </r>
    <phoneticPr fontId="13" type="noConversion"/>
  </si>
  <si>
    <r>
      <t>2</t>
    </r>
    <r>
      <rPr>
        <sz val="11"/>
        <color rgb="FF000000"/>
        <rFont val="맑은 고딕"/>
        <family val="3"/>
        <charset val="129"/>
      </rPr>
      <t>0일</t>
    </r>
    <phoneticPr fontId="13" type="noConversion"/>
  </si>
  <si>
    <r>
      <t>3</t>
    </r>
    <r>
      <rPr>
        <sz val="11"/>
        <color rgb="FF000000"/>
        <rFont val="맑은 고딕"/>
        <family val="3"/>
        <charset val="129"/>
      </rPr>
      <t>0일</t>
    </r>
    <phoneticPr fontId="13" type="noConversion"/>
  </si>
  <si>
    <t>청구일</t>
    <phoneticPr fontId="13" type="noConversion"/>
  </si>
  <si>
    <t>개수</t>
    <phoneticPr fontId="13" type="noConversion"/>
  </si>
  <si>
    <t>소계</t>
    <phoneticPr fontId="13" type="noConversion"/>
  </si>
  <si>
    <t>영수</t>
    <phoneticPr fontId="13" type="noConversion"/>
  </si>
  <si>
    <t>지급방식</t>
    <phoneticPr fontId="13" type="noConversion"/>
  </si>
  <si>
    <t>이체</t>
    <phoneticPr fontId="13" type="noConversion"/>
  </si>
  <si>
    <r>
      <t>0</t>
    </r>
    <r>
      <rPr>
        <sz val="11"/>
        <color rgb="FF000000"/>
        <rFont val="맑은 고딕"/>
        <family val="3"/>
        <charset val="129"/>
      </rPr>
      <t>2-25</t>
    </r>
    <phoneticPr fontId="13" type="noConversion"/>
  </si>
  <si>
    <t>02-22</t>
    <phoneticPr fontId="13" type="noConversion"/>
  </si>
  <si>
    <t>02-25</t>
    <phoneticPr fontId="13" type="noConversion"/>
  </si>
  <si>
    <r>
      <t>0</t>
    </r>
    <r>
      <rPr>
        <sz val="11"/>
        <color rgb="FF000000"/>
        <rFont val="맑은 고딕"/>
        <family val="3"/>
        <charset val="129"/>
      </rPr>
      <t>2-27</t>
    </r>
    <phoneticPr fontId="13" type="noConversion"/>
  </si>
  <si>
    <r>
      <t>0</t>
    </r>
    <r>
      <rPr>
        <sz val="11"/>
        <color rgb="FF000000"/>
        <rFont val="맑은 고딕"/>
        <family val="3"/>
        <charset val="129"/>
      </rPr>
      <t>2-22</t>
    </r>
    <phoneticPr fontId="13" type="noConversion"/>
  </si>
  <si>
    <t>생략</t>
    <phoneticPr fontId="13" type="noConversion"/>
  </si>
  <si>
    <r>
      <t>0</t>
    </r>
    <r>
      <rPr>
        <sz val="11"/>
        <color rgb="FF000000"/>
        <rFont val="맑은 고딕"/>
        <family val="3"/>
        <charset val="129"/>
      </rPr>
      <t>2-28</t>
    </r>
    <phoneticPr fontId="13" type="noConversion"/>
  </si>
  <si>
    <r>
      <t>0</t>
    </r>
    <r>
      <rPr>
        <sz val="11"/>
        <color rgb="FF000000"/>
        <rFont val="맑은 고딕"/>
        <family val="3"/>
        <charset val="129"/>
      </rPr>
      <t>2-28</t>
    </r>
    <phoneticPr fontId="13" type="noConversion"/>
  </si>
  <si>
    <r>
      <t>0</t>
    </r>
    <r>
      <rPr>
        <sz val="11"/>
        <color rgb="FF000000"/>
        <rFont val="맑은 고딕"/>
        <family val="3"/>
        <charset val="129"/>
      </rPr>
      <t>3-04</t>
    </r>
    <phoneticPr fontId="13" type="noConversion"/>
  </si>
  <si>
    <t>발급완료</t>
    <phoneticPr fontId="13" type="noConversion"/>
  </si>
  <si>
    <t>03-06</t>
    <phoneticPr fontId="13" type="noConversion"/>
  </si>
  <si>
    <r>
      <t>0</t>
    </r>
    <r>
      <rPr>
        <sz val="11"/>
        <color rgb="FF000000"/>
        <rFont val="맑은 고딕"/>
        <family val="3"/>
        <charset val="129"/>
      </rPr>
      <t>3-07</t>
    </r>
    <phoneticPr fontId="13" type="noConversion"/>
  </si>
  <si>
    <t>수령일</t>
    <phoneticPr fontId="13" type="noConversion"/>
  </si>
  <si>
    <t>223-82-66222</t>
    <phoneticPr fontId="13" type="noConversion"/>
  </si>
  <si>
    <t>2019-04-01</t>
    <phoneticPr fontId="13" type="noConversion"/>
  </si>
  <si>
    <t>2019-4-11</t>
    <phoneticPr fontId="13" type="noConversion"/>
  </si>
  <si>
    <t>2019-4-19</t>
    <phoneticPr fontId="13" type="noConversion"/>
  </si>
  <si>
    <t>혜현에너지</t>
    <phoneticPr fontId="13" type="noConversion"/>
  </si>
  <si>
    <t>124-47-16365</t>
    <phoneticPr fontId="13" type="noConversion"/>
  </si>
  <si>
    <t>혜현에너지</t>
    <phoneticPr fontId="13" type="noConversion"/>
  </si>
  <si>
    <t>1일</t>
    <phoneticPr fontId="13" type="noConversion"/>
  </si>
  <si>
    <t>11일</t>
    <phoneticPr fontId="13" type="noConversion"/>
  </si>
  <si>
    <t>21일</t>
    <phoneticPr fontId="13" type="noConversion"/>
  </si>
  <si>
    <t>㈜다온샵</t>
    <phoneticPr fontId="13" type="noConversion"/>
  </si>
  <si>
    <t>225-86-00020</t>
    <phoneticPr fontId="13" type="noConversion"/>
  </si>
  <si>
    <t>2019-04-26</t>
    <phoneticPr fontId="13" type="noConversion"/>
  </si>
  <si>
    <t>2019-4-30</t>
    <phoneticPr fontId="13" type="noConversion"/>
  </si>
  <si>
    <t>2019-5-10</t>
    <phoneticPr fontId="13" type="noConversion"/>
  </si>
  <si>
    <t>743-81-01019</t>
    <phoneticPr fontId="13" type="noConversion"/>
  </si>
  <si>
    <t>㈜국풍2000IAP</t>
    <phoneticPr fontId="13" type="noConversion"/>
  </si>
  <si>
    <t>비오람요양병원</t>
    <phoneticPr fontId="13" type="noConversion"/>
  </si>
  <si>
    <r>
      <t>1</t>
    </r>
    <r>
      <rPr>
        <sz val="11"/>
        <color rgb="FF000000"/>
        <rFont val="맑은 고딕"/>
        <family val="3"/>
        <charset val="129"/>
      </rPr>
      <t>32-92-39734</t>
    </r>
    <phoneticPr fontId="13" type="noConversion"/>
  </si>
  <si>
    <t>청구</t>
    <phoneticPr fontId="13" type="noConversion"/>
  </si>
  <si>
    <t>계좌이체</t>
    <phoneticPr fontId="13" type="noConversion"/>
  </si>
  <si>
    <t>출금일</t>
    <phoneticPr fontId="13" type="noConversion"/>
  </si>
  <si>
    <t>사업장명</t>
    <phoneticPr fontId="13" type="noConversion"/>
  </si>
  <si>
    <t>부터</t>
    <phoneticPr fontId="13" type="noConversion"/>
  </si>
  <si>
    <t>까지</t>
    <phoneticPr fontId="13" type="noConversion"/>
  </si>
  <si>
    <t>최초</t>
    <phoneticPr fontId="13" type="noConversion"/>
  </si>
  <si>
    <t>갱신</t>
    <phoneticPr fontId="13" type="noConversion"/>
  </si>
  <si>
    <t>구분</t>
    <phoneticPr fontId="13" type="noConversion"/>
  </si>
  <si>
    <t>기간</t>
    <phoneticPr fontId="13" type="noConversion"/>
  </si>
  <si>
    <t>변경 계약조건</t>
    <phoneticPr fontId="13" type="noConversion"/>
  </si>
  <si>
    <t>기존 계약조건</t>
    <phoneticPr fontId="13" type="noConversion"/>
  </si>
  <si>
    <t>적용시점</t>
    <phoneticPr fontId="13" type="noConversion"/>
  </si>
  <si>
    <t>계약조건</t>
    <phoneticPr fontId="13" type="noConversion"/>
  </si>
  <si>
    <t>1. 안녕하십니까. 노무법인 화랑 컨설팅입니다.</t>
    <phoneticPr fontId="13" type="noConversion"/>
  </si>
  <si>
    <t>노무법인 화랑 컨설팅 대표</t>
    <phoneticPr fontId="13" type="noConversion"/>
  </si>
  <si>
    <t>노무법인 계약조건 변경 안내</t>
    <phoneticPr fontId="13" type="noConversion"/>
  </si>
  <si>
    <r>
      <t xml:space="preserve">금액 </t>
    </r>
    <r>
      <rPr>
        <b/>
        <sz val="11"/>
        <color rgb="FF000000"/>
        <rFont val="HY중고딕"/>
        <family val="1"/>
        <charset val="129"/>
      </rPr>
      <t>(Vat 불포함)</t>
    </r>
    <phoneticPr fontId="13" type="noConversion"/>
  </si>
  <si>
    <t>사업자번호</t>
    <phoneticPr fontId="13" type="noConversion"/>
  </si>
  <si>
    <t>은나무요양원</t>
    <phoneticPr fontId="13" type="noConversion"/>
  </si>
  <si>
    <t>은나무요양원</t>
    <phoneticPr fontId="13" type="noConversion"/>
  </si>
  <si>
    <t>2019-5-20</t>
    <phoneticPr fontId="13" type="noConversion"/>
  </si>
  <si>
    <t>2019-5-31</t>
    <phoneticPr fontId="13" type="noConversion"/>
  </si>
  <si>
    <t>2019-6-11</t>
    <phoneticPr fontId="13" type="noConversion"/>
  </si>
  <si>
    <r>
      <t>금액</t>
    </r>
    <r>
      <rPr>
        <b/>
        <sz val="11"/>
        <color rgb="FF000000"/>
        <rFont val="HY중고딕"/>
        <family val="1"/>
        <charset val="129"/>
      </rPr>
      <t>(Vat 불포함)</t>
    </r>
    <phoneticPr fontId="13" type="noConversion"/>
  </si>
  <si>
    <t>2019-6-21</t>
    <phoneticPr fontId="13" type="noConversion"/>
  </si>
  <si>
    <t>2019-7-1</t>
    <phoneticPr fontId="13" type="noConversion"/>
  </si>
  <si>
    <t>계좌이체</t>
    <phoneticPr fontId="13" type="noConversion"/>
  </si>
  <si>
    <t>총액</t>
    <phoneticPr fontId="13" type="noConversion"/>
  </si>
  <si>
    <t>CMS</t>
    <phoneticPr fontId="13" type="noConversion"/>
  </si>
  <si>
    <t>CMS</t>
    <phoneticPr fontId="13" type="noConversion"/>
  </si>
  <si>
    <t>2019-7-10</t>
    <phoneticPr fontId="13" type="noConversion"/>
  </si>
  <si>
    <t>2019-7-22</t>
    <phoneticPr fontId="13" type="noConversion"/>
  </si>
  <si>
    <t>계약기간</t>
    <phoneticPr fontId="13" type="noConversion"/>
  </si>
  <si>
    <t>2019-8-1</t>
    <phoneticPr fontId="13" type="noConversion"/>
  </si>
  <si>
    <t>㈜천우토목</t>
    <phoneticPr fontId="13" type="noConversion"/>
  </si>
  <si>
    <t>206-81-73551</t>
    <phoneticPr fontId="13" type="noConversion"/>
  </si>
  <si>
    <t>해지</t>
    <phoneticPr fontId="13" type="noConversion"/>
  </si>
  <si>
    <t>해지</t>
    <phoneticPr fontId="13" type="noConversion"/>
  </si>
  <si>
    <t>2019-8-12</t>
    <phoneticPr fontId="13" type="noConversion"/>
  </si>
  <si>
    <t>2019-08-07</t>
    <phoneticPr fontId="13" type="noConversion"/>
  </si>
  <si>
    <t>2019-8-21</t>
    <phoneticPr fontId="13" type="noConversion"/>
  </si>
  <si>
    <t>계속</t>
    <phoneticPr fontId="13" type="noConversion"/>
  </si>
  <si>
    <t>2019-8-30</t>
    <phoneticPr fontId="13" type="noConversion"/>
  </si>
  <si>
    <t>2019-9-10</t>
    <phoneticPr fontId="13" type="noConversion"/>
  </si>
  <si>
    <t>2019-9-20</t>
    <phoneticPr fontId="13" type="noConversion"/>
  </si>
  <si>
    <t>2019-9-30</t>
    <phoneticPr fontId="13" type="noConversion"/>
  </si>
  <si>
    <t>사업자등록번호</t>
    <phoneticPr fontId="13" type="noConversion"/>
  </si>
  <si>
    <t>시기</t>
    <phoneticPr fontId="13" type="noConversion"/>
  </si>
  <si>
    <t>종기</t>
    <phoneticPr fontId="13" type="noConversion"/>
  </si>
  <si>
    <t>출금방식</t>
    <phoneticPr fontId="13" type="noConversion"/>
  </si>
  <si>
    <t>부가세</t>
    <phoneticPr fontId="13" type="noConversion"/>
  </si>
  <si>
    <t>발급일</t>
    <phoneticPr fontId="13" type="noConversion"/>
  </si>
  <si>
    <t>수금일</t>
    <phoneticPr fontId="13" type="noConversion"/>
  </si>
  <si>
    <t>2020년</t>
    <phoneticPr fontId="13" type="noConversion"/>
  </si>
  <si>
    <t>지급일</t>
    <phoneticPr fontId="13" type="noConversion"/>
  </si>
  <si>
    <t>수수료</t>
    <phoneticPr fontId="13" type="noConversion"/>
  </si>
  <si>
    <t>2019-10-10</t>
    <phoneticPr fontId="13" type="noConversion"/>
  </si>
  <si>
    <t>법률자문</t>
    <phoneticPr fontId="13" type="noConversion"/>
  </si>
  <si>
    <t>2019-10-21</t>
    <phoneticPr fontId="13" type="noConversion"/>
  </si>
  <si>
    <r>
      <t>2</t>
    </r>
    <r>
      <rPr>
        <sz val="11"/>
        <color rgb="FF000000"/>
        <rFont val="맑은 고딕"/>
        <family val="3"/>
        <charset val="129"/>
      </rPr>
      <t>019-10-.31</t>
    </r>
    <phoneticPr fontId="13" type="noConversion"/>
  </si>
  <si>
    <t>2019-11-1</t>
    <phoneticPr fontId="13" type="noConversion"/>
  </si>
  <si>
    <t>2019-11-11</t>
    <phoneticPr fontId="13" type="noConversion"/>
  </si>
  <si>
    <t>비고</t>
    <phoneticPr fontId="13" type="noConversion"/>
  </si>
  <si>
    <t>계약유형</t>
    <phoneticPr fontId="13" type="noConversion"/>
  </si>
  <si>
    <t>사업장관리번호</t>
    <phoneticPr fontId="13" type="noConversion"/>
  </si>
  <si>
    <t>임금지급일</t>
    <phoneticPr fontId="13" type="noConversion"/>
  </si>
  <si>
    <t>계좌이체</t>
  </si>
  <si>
    <t>혜현에너지</t>
  </si>
  <si>
    <t>비오람요양병원</t>
  </si>
  <si>
    <t>해암 요양원</t>
  </si>
  <si>
    <t>㈜청우푸드</t>
  </si>
  <si>
    <t>㈜천우토목</t>
  </si>
  <si>
    <t>은나무요양원</t>
  </si>
  <si>
    <t>㈜다온샵</t>
  </si>
  <si>
    <t>㈜국풍2000IAP</t>
  </si>
  <si>
    <t>삼곱식당 합정점</t>
    <phoneticPr fontId="13" type="noConversion"/>
  </si>
  <si>
    <t>656-05-12321</t>
    <phoneticPr fontId="13" type="noConversion"/>
  </si>
  <si>
    <t>삼곱식당 합정점</t>
    <phoneticPr fontId="13" type="noConversion"/>
  </si>
  <si>
    <t>2019-11-20</t>
  </si>
  <si>
    <t>2019-11-20</t>
    <phoneticPr fontId="13" type="noConversion"/>
  </si>
  <si>
    <t>삼곱식당 합정점</t>
    <phoneticPr fontId="13" type="noConversion"/>
  </si>
  <si>
    <t>삼곱식당 합정점</t>
    <phoneticPr fontId="13" type="noConversion"/>
  </si>
  <si>
    <t>2019-12-2</t>
    <phoneticPr fontId="13" type="noConversion"/>
  </si>
  <si>
    <t>2019-12-10</t>
    <phoneticPr fontId="13" type="noConversion"/>
  </si>
  <si>
    <t>2019-12-20</t>
    <phoneticPr fontId="13" type="noConversion"/>
  </si>
  <si>
    <t>2020.1.부터
수수료 165,000 (2020.1.15. 미납분 재출금)</t>
    <phoneticPr fontId="13" type="noConversion"/>
  </si>
  <si>
    <t>(생략)</t>
    <phoneticPr fontId="13" type="noConversion"/>
  </si>
  <si>
    <t>나우키친 노원점</t>
    <phoneticPr fontId="13" type="noConversion"/>
  </si>
  <si>
    <t>나우키친 중계점</t>
    <phoneticPr fontId="13" type="noConversion"/>
  </si>
  <si>
    <t>㈜대일여행사</t>
    <phoneticPr fontId="13" type="noConversion"/>
  </si>
  <si>
    <t>1차조정(''18.6.~20.5.)만료
6.10.분부터 +10만 조정</t>
    <phoneticPr fontId="13" type="noConversion"/>
  </si>
  <si>
    <t>2020-06-10부터 330,000</t>
    <phoneticPr fontId="13" type="noConversion"/>
  </si>
  <si>
    <t>2020.1.부터 330,000
2020.6.부터 220,000</t>
    <phoneticPr fontId="13" type="noConversion"/>
  </si>
  <si>
    <t>㈜이엔에스코리아</t>
    <phoneticPr fontId="13" type="noConversion"/>
  </si>
  <si>
    <t>5일</t>
    <phoneticPr fontId="13" type="noConversion"/>
  </si>
  <si>
    <t>갑(매출부진)</t>
    <phoneticPr fontId="13" type="noConversion"/>
  </si>
  <si>
    <t>갑(영업양도)</t>
    <phoneticPr fontId="13" type="noConversion"/>
  </si>
  <si>
    <t>을(해지통보)</t>
    <phoneticPr fontId="13" type="noConversion"/>
  </si>
  <si>
    <t>갑(업무량)</t>
    <phoneticPr fontId="13" type="noConversion"/>
  </si>
  <si>
    <t>3.  귀사의 관리인원은 현재</t>
    <phoneticPr fontId="13" type="noConversion"/>
  </si>
  <si>
    <t>명</t>
    <phoneticPr fontId="13" type="noConversion"/>
  </si>
  <si>
    <t>※</t>
    <phoneticPr fontId="13" type="noConversion"/>
  </si>
  <si>
    <t>×</t>
    <phoneticPr fontId="13" type="noConversion"/>
  </si>
  <si>
    <t>=</t>
    <phoneticPr fontId="13" type="noConversion"/>
  </si>
  <si>
    <t>명으로, 다음과 같은 계약조건을 제안드립니다.</t>
    <phoneticPr fontId="13" type="noConversion"/>
  </si>
  <si>
    <r>
      <t xml:space="preserve">2. 당사가 제공하는 임금아웃소싱 업무는 </t>
    </r>
    <r>
      <rPr>
        <b/>
        <u/>
        <sz val="14"/>
        <color rgb="FF000000"/>
        <rFont val="HY중고딕"/>
        <family val="1"/>
        <charset val="129"/>
      </rPr>
      <t>《관리인원 1인 × 10,000원》</t>
    </r>
    <r>
      <rPr>
        <sz val="14"/>
        <color rgb="FF000000"/>
        <rFont val="HY중고딕"/>
        <family val="1"/>
        <charset val="129"/>
      </rPr>
      <t xml:space="preserve">을 기초비용으로 하고, 관리기간 동안의 </t>
    </r>
    <r>
      <rPr>
        <b/>
        <u/>
        <sz val="14"/>
        <color rgb="FF000000"/>
        <rFont val="HY중고딕"/>
        <family val="1"/>
        <charset val="129"/>
      </rPr>
      <t>『업무내용, 물가인상율, 최저계약 조건, 관리 사업장 규모 증감등』</t>
    </r>
    <r>
      <rPr>
        <sz val="14"/>
        <color rgb="FF000000"/>
        <rFont val="HY중고딕"/>
        <family val="1"/>
        <charset val="129"/>
      </rPr>
      <t xml:space="preserve">을 토대로 계약조건을 </t>
    </r>
    <r>
      <rPr>
        <b/>
        <u/>
        <sz val="14"/>
        <color rgb="FF000000"/>
        <rFont val="HY중고딕"/>
        <family val="1"/>
        <charset val="129"/>
      </rPr>
      <t>조정</t>
    </r>
    <r>
      <rPr>
        <sz val="14"/>
        <color rgb="FF000000"/>
        <rFont val="HY중고딕"/>
        <family val="1"/>
        <charset val="129"/>
      </rPr>
      <t>하고 있습니다.</t>
    </r>
    <phoneticPr fontId="13" type="noConversion"/>
  </si>
  <si>
    <t>㈜현승이앤씨</t>
    <phoneticPr fontId="13" type="noConversion"/>
  </si>
  <si>
    <t>아웃소싱</t>
    <phoneticPr fontId="13" type="noConversion"/>
  </si>
  <si>
    <t>법률자문</t>
    <phoneticPr fontId="13" type="noConversion"/>
  </si>
  <si>
    <t>X</t>
    <phoneticPr fontId="13" type="noConversion"/>
  </si>
  <si>
    <t>O</t>
    <phoneticPr fontId="13" type="noConversion"/>
  </si>
  <si>
    <t>Pakage</t>
    <phoneticPr fontId="13" type="noConversion"/>
  </si>
  <si>
    <t>법률자문/코칭</t>
    <phoneticPr fontId="13" type="noConversion"/>
  </si>
  <si>
    <t>출장방문(월1회)</t>
    <phoneticPr fontId="13" type="noConversion"/>
  </si>
  <si>
    <t>구분</t>
    <phoneticPr fontId="13" type="noConversion"/>
  </si>
  <si>
    <t>법률해석/의견서</t>
    <phoneticPr fontId="13" type="noConversion"/>
  </si>
  <si>
    <t>사건수임 할인</t>
    <phoneticPr fontId="13" type="noConversion"/>
  </si>
  <si>
    <t>취득/상실신고</t>
    <phoneticPr fontId="13" type="noConversion"/>
  </si>
  <si>
    <t>퇴직금 계산</t>
    <phoneticPr fontId="13" type="noConversion"/>
  </si>
  <si>
    <t>매월 급여 등 계산</t>
    <phoneticPr fontId="13" type="noConversion"/>
  </si>
  <si>
    <t>임금대장 서식</t>
    <phoneticPr fontId="13" type="noConversion"/>
  </si>
  <si>
    <t>급여명세서</t>
    <phoneticPr fontId="13" type="noConversion"/>
  </si>
  <si>
    <t>노동조합 설립 사업장</t>
    <phoneticPr fontId="13" type="noConversion"/>
  </si>
  <si>
    <t>○ 업무범위</t>
    <phoneticPr fontId="13" type="noConversion"/>
  </si>
  <si>
    <t>임금 아웃소싱</t>
    <phoneticPr fontId="13" type="noConversion"/>
  </si>
  <si>
    <t>Pakage (법률자문+아웃소싱)</t>
    <phoneticPr fontId="13" type="noConversion"/>
  </si>
  <si>
    <t>기초 인사서식 제공</t>
    <phoneticPr fontId="13" type="noConversion"/>
  </si>
  <si>
    <t>○ 수수료 산정기준</t>
    <phoneticPr fontId="13" type="noConversion"/>
  </si>
  <si>
    <t>인 이하</t>
    <phoneticPr fontId="13" type="noConversion"/>
  </si>
  <si>
    <t>인 초과</t>
    <phoneticPr fontId="13" type="noConversion"/>
  </si>
  <si>
    <t>인원수</t>
    <phoneticPr fontId="13" type="noConversion"/>
  </si>
  <si>
    <t>1~10</t>
    <phoneticPr fontId="13" type="noConversion"/>
  </si>
  <si>
    <t>아이원스포츠</t>
    <phoneticPr fontId="13" type="noConversion"/>
  </si>
  <si>
    <t>어사출또 (수유점)</t>
    <phoneticPr fontId="13" type="noConversion"/>
  </si>
  <si>
    <t>어사또 (쌍문점)</t>
    <phoneticPr fontId="13" type="noConversion"/>
  </si>
  <si>
    <t>개별</t>
    <phoneticPr fontId="13" type="noConversion"/>
  </si>
  <si>
    <t>+@</t>
    <phoneticPr fontId="13" type="noConversion"/>
  </si>
  <si>
    <t>2021-07-10 부터 110,000</t>
    <phoneticPr fontId="13" type="noConversion"/>
  </si>
  <si>
    <t>2020-10-20 출금분부터 37만</t>
    <phoneticPr fontId="13" type="noConversion"/>
  </si>
  <si>
    <t>홍정양행</t>
    <phoneticPr fontId="13" type="noConversion"/>
  </si>
  <si>
    <t>폐업</t>
    <phoneticPr fontId="13" type="noConversion"/>
  </si>
  <si>
    <t>해지요청</t>
    <phoneticPr fontId="13" type="noConversion"/>
  </si>
  <si>
    <t>어사또 (불광점)</t>
    <phoneticPr fontId="13" type="noConversion"/>
  </si>
  <si>
    <t>블루오션키즈 스위밍</t>
    <phoneticPr fontId="13" type="noConversion"/>
  </si>
  <si>
    <t>계약기간(시기)</t>
    <phoneticPr fontId="13" type="noConversion"/>
  </si>
  <si>
    <t>계약기간(종기)</t>
    <phoneticPr fontId="13" type="noConversion"/>
  </si>
  <si>
    <t>계약금액</t>
    <phoneticPr fontId="13" type="noConversion"/>
  </si>
  <si>
    <t>급여지급일</t>
    <phoneticPr fontId="13" type="noConversion"/>
  </si>
  <si>
    <t>기본사항</t>
    <phoneticPr fontId="13" type="noConversion"/>
  </si>
  <si>
    <t>세금계산서</t>
    <phoneticPr fontId="13" type="noConversion"/>
  </si>
  <si>
    <t>급여작업</t>
    <phoneticPr fontId="13" type="noConversion"/>
  </si>
  <si>
    <t>일자</t>
    <phoneticPr fontId="13" type="noConversion"/>
  </si>
  <si>
    <t>요일</t>
    <phoneticPr fontId="13" type="noConversion"/>
  </si>
  <si>
    <t>공급가액</t>
    <phoneticPr fontId="13" type="noConversion"/>
  </si>
  <si>
    <t>계약내용</t>
    <phoneticPr fontId="13" type="noConversion"/>
  </si>
  <si>
    <t>기초정보</t>
    <phoneticPr fontId="13" type="noConversion"/>
  </si>
  <si>
    <t>계약유지</t>
    <phoneticPr fontId="13" type="noConversion"/>
  </si>
  <si>
    <t>요청</t>
    <phoneticPr fontId="13" type="noConversion"/>
  </si>
  <si>
    <t>사업장</t>
    <phoneticPr fontId="13" type="noConversion"/>
  </si>
  <si>
    <t>회신</t>
    <phoneticPr fontId="13" type="noConversion"/>
  </si>
  <si>
    <t>검토</t>
    <phoneticPr fontId="13" type="noConversion"/>
  </si>
  <si>
    <t>보험료</t>
    <phoneticPr fontId="13" type="noConversion"/>
  </si>
  <si>
    <t>합계</t>
    <phoneticPr fontId="13" type="noConversion"/>
  </si>
  <si>
    <t>이체기준</t>
    <phoneticPr fontId="13" type="noConversion"/>
  </si>
  <si>
    <t>이체유형</t>
    <phoneticPr fontId="13" type="noConversion"/>
  </si>
  <si>
    <t>수금일자</t>
    <phoneticPr fontId="13" type="noConversion"/>
  </si>
  <si>
    <t/>
  </si>
  <si>
    <t>기준연도</t>
    <phoneticPr fontId="13" type="noConversion"/>
  </si>
  <si>
    <t>기준월</t>
    <phoneticPr fontId="13" type="noConversion"/>
  </si>
  <si>
    <t>삼곱식당 합정점</t>
  </si>
  <si>
    <t>아이원스포츠</t>
  </si>
  <si>
    <t>㈜현승이앤씨</t>
  </si>
  <si>
    <t>㈜이엔에스코리아</t>
  </si>
  <si>
    <t>㈜대일여행사</t>
  </si>
  <si>
    <t>나우키친 노원점</t>
  </si>
  <si>
    <t>나우키친 중계점</t>
  </si>
  <si>
    <t>어사출또 (수유점)</t>
  </si>
  <si>
    <t>블루오션키즈 스위밍</t>
  </si>
  <si>
    <t>월계마트</t>
    <phoneticPr fontId="13" type="noConversion"/>
  </si>
  <si>
    <t>02-991-7997</t>
    <phoneticPr fontId="13" type="noConversion"/>
  </si>
  <si>
    <t>우성실업</t>
    <phoneticPr fontId="13" type="noConversion"/>
  </si>
  <si>
    <t>시온관리</t>
    <phoneticPr fontId="13" type="noConversion"/>
  </si>
  <si>
    <t>어사출또 (쌍문점)</t>
    <phoneticPr fontId="13" type="noConversion"/>
  </si>
  <si>
    <t>어사출또 (불광점)</t>
    <phoneticPr fontId="13" type="noConversion"/>
  </si>
  <si>
    <t>선결제</t>
    <phoneticPr fontId="13" type="noConversion"/>
  </si>
  <si>
    <t>기타/참고</t>
    <phoneticPr fontId="13" type="noConversion"/>
  </si>
  <si>
    <t>작업</t>
  </si>
  <si>
    <t>비고</t>
  </si>
  <si>
    <t>완료일</t>
  </si>
  <si>
    <t>'20.10.25.분부터 인상</t>
    <phoneticPr fontId="13" type="noConversion"/>
  </si>
  <si>
    <t>F 02.3297.0102</t>
    <phoneticPr fontId="13" type="noConversion"/>
  </si>
  <si>
    <t>㈜스탁키퍼</t>
    <phoneticPr fontId="13" type="noConversion"/>
  </si>
  <si>
    <t>㈜뉴데이트레이딩컴퍼니</t>
    <phoneticPr fontId="13" type="noConversion"/>
  </si>
  <si>
    <t>다미인</t>
    <phoneticPr fontId="13" type="noConversion"/>
  </si>
  <si>
    <t>'21.8.부터 15만</t>
    <phoneticPr fontId="13" type="noConversion"/>
  </si>
  <si>
    <t>블루오션 월계점</t>
    <phoneticPr fontId="13" type="noConversion"/>
  </si>
  <si>
    <t>블루오션 창동점</t>
    <phoneticPr fontId="13" type="noConversion"/>
  </si>
  <si>
    <t>더조은요양병원</t>
    <phoneticPr fontId="13" type="noConversion"/>
  </si>
  <si>
    <t>삼원산업</t>
    <phoneticPr fontId="13" type="noConversion"/>
  </si>
  <si>
    <t>2021. 5. 1.</t>
    <phoneticPr fontId="13" type="noConversion"/>
  </si>
  <si>
    <t>어사출또 연신내</t>
    <phoneticPr fontId="13" type="noConversion"/>
  </si>
  <si>
    <t>㈜북한산스카이</t>
    <phoneticPr fontId="13" type="noConversion"/>
  </si>
  <si>
    <t>우성LPG충전소</t>
    <phoneticPr fontId="13" type="noConversion"/>
  </si>
  <si>
    <t>조선시대</t>
    <phoneticPr fontId="13" type="noConversion"/>
  </si>
  <si>
    <t>영수네감자국</t>
    <phoneticPr fontId="13" type="noConversion"/>
  </si>
  <si>
    <t>잼파파(수유점)</t>
    <phoneticPr fontId="13" type="noConversion"/>
  </si>
  <si>
    <t>다미인</t>
    <phoneticPr fontId="13" type="noConversion"/>
  </si>
  <si>
    <t>경계선</t>
    <phoneticPr fontId="13" type="noConversion"/>
  </si>
  <si>
    <t>920-2464969-1</t>
    <phoneticPr fontId="13" type="noConversion"/>
  </si>
  <si>
    <t>920-2464969-1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</si>
</sst>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1" formatCode="_-* #,##0_-;\-* #,##0_-;_-* &quot;-&quot;_-;_-@_-"/>
    <numFmt numFmtId="43" formatCode="_-* #,##0.00_-;\-* #,##0.00_-;_-* &quot;-&quot;??_-;_-@_-"/>
    <numFmt numFmtId="176" formatCode="_-* #,##0_-;\-* #,##0_-;_-* &quot;-&quot;_-;_-@"/>
    <numFmt numFmtId="177" formatCode="#&quot;일&quot;"/>
    <numFmt numFmtId="178" formatCode="000\-000"/>
    <numFmt numFmtId="179" formatCode="&quot;사업장 수 :&quot;#"/>
    <numFmt numFmtId="180" formatCode="_-* #,##0.0_-;\-* #,##0.0_-;_-* &quot;-&quot;_-;_-@_-"/>
    <numFmt numFmtId="181" formatCode="[$-F800]dddd\,\ mmmm\ dd\,\ yyyy"/>
    <numFmt numFmtId="182" formatCode="yyyy\.\ mm\.\ dd"/>
    <numFmt numFmtId="183" formatCode="#&quot;월&quot;"/>
    <numFmt numFmtId="184" formatCode="#&quot;개&quot;\ &quot;업&quot;&quot;체&quot;"/>
    <numFmt numFmtId="185" formatCode="&quot;법률자문가의 &quot;##&quot;% Sale&quot;"/>
    <numFmt numFmtId="186" formatCode="&quot;기본가 + (10인 초과 1인당 &quot;#,###&quot;원)&quot;"/>
    <numFmt numFmtId="187" formatCode="000\-00\-00000\-0"/>
    <numFmt numFmtId="188" formatCode="000\-00\-00000"/>
    <numFmt numFmtId="189" formatCode="m&quot;/&quot;d;@"/>
  </numFmts>
  <fonts count="51" x14ac:knownFonts="1">
    <font>
      <sz val="11"/>
      <color rgb="FF000000"/>
      <name val="맑은 고딕"/>
    </font>
    <font>
      <sz val="11"/>
      <color theme="1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name val="맑은 고딕"/>
      <family val="3"/>
      <charset val="129"/>
    </font>
    <font>
      <sz val="10"/>
      <color rgb="FF000000"/>
      <name val="맑은 고딕"/>
      <family val="3"/>
      <charset val="129"/>
    </font>
    <font>
      <sz val="12"/>
      <color rgb="FF000000"/>
      <name val="맑은 고딕"/>
      <family val="3"/>
      <charset val="129"/>
    </font>
    <font>
      <sz val="11"/>
      <color rgb="FFFF0000"/>
      <name val="맑은 고딕"/>
      <family val="3"/>
      <charset val="129"/>
    </font>
    <font>
      <b/>
      <sz val="18"/>
      <color rgb="FF0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sz val="14"/>
      <color rgb="FFFF0000"/>
      <name val="맑은 고딕"/>
      <family val="3"/>
      <charset val="129"/>
    </font>
    <font>
      <b/>
      <sz val="2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</font>
    <font>
      <b/>
      <i/>
      <sz val="11"/>
      <color rgb="FFFF0000"/>
      <name val="맑은 고딕"/>
      <family val="3"/>
      <charset val="129"/>
    </font>
    <font>
      <sz val="14"/>
      <color rgb="FF000000"/>
      <name val="HY중고딕"/>
      <family val="1"/>
      <charset val="129"/>
    </font>
    <font>
      <b/>
      <u/>
      <sz val="14"/>
      <color rgb="FF000000"/>
      <name val="HY중고딕"/>
      <family val="1"/>
      <charset val="129"/>
    </font>
    <font>
      <b/>
      <sz val="14"/>
      <color rgb="FF000000"/>
      <name val="HY중고딕"/>
      <family val="1"/>
      <charset val="129"/>
    </font>
    <font>
      <b/>
      <sz val="11"/>
      <color rgb="FF000000"/>
      <name val="HY중고딕"/>
      <family val="1"/>
      <charset val="129"/>
    </font>
    <font>
      <b/>
      <sz val="14"/>
      <color rgb="FFFF0000"/>
      <name val="HY중고딕"/>
      <family val="1"/>
      <charset val="129"/>
    </font>
    <font>
      <sz val="11"/>
      <color rgb="FF000000"/>
      <name val="HY중고딕"/>
      <family val="1"/>
      <charset val="129"/>
    </font>
    <font>
      <b/>
      <sz val="28"/>
      <color rgb="FF000000"/>
      <name val="HY중고딕"/>
      <family val="1"/>
      <charset val="129"/>
    </font>
    <font>
      <b/>
      <sz val="36"/>
      <color rgb="FF000000"/>
      <name val="HY중고딕"/>
      <family val="1"/>
      <charset val="129"/>
    </font>
    <font>
      <b/>
      <sz val="14"/>
      <color rgb="FF000000"/>
      <name val="맑은 고딕"/>
      <family val="3"/>
      <charset val="129"/>
    </font>
    <font>
      <b/>
      <sz val="16"/>
      <color rgb="FF000000"/>
      <name val="맑은 고딕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6"/>
      <color rgb="FFFF0000"/>
      <name val="맑은 고딕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2"/>
      <color indexed="81"/>
      <name val="돋움"/>
      <family val="3"/>
      <charset val="129"/>
    </font>
    <font>
      <b/>
      <sz val="12"/>
      <color indexed="81"/>
      <name val="Tahoma"/>
      <family val="2"/>
    </font>
    <font>
      <b/>
      <sz val="11"/>
      <color rgb="FFFF0000"/>
      <name val="맑은 고딕"/>
      <family val="3"/>
      <charset val="129"/>
    </font>
    <font>
      <b/>
      <sz val="11"/>
      <color rgb="FF002060"/>
      <name val="맑은 고딕"/>
      <family val="3"/>
      <charset val="129"/>
    </font>
    <font>
      <b/>
      <sz val="11"/>
      <color rgb="FF0070C0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color rgb="FF000000"/>
      <name val="맑은 고딕"/>
      <family val="3"/>
      <charset val="129"/>
    </font>
    <font>
      <b/>
      <sz val="18"/>
      <color rgb="FF000000"/>
      <name val="HY중고딕"/>
      <family val="1"/>
      <charset val="129"/>
    </font>
    <font>
      <sz val="11"/>
      <color rgb="FF000000"/>
      <name val="휴먼명조"/>
      <family val="3"/>
      <charset val="129"/>
    </font>
    <font>
      <b/>
      <sz val="20"/>
      <color rgb="FF000000"/>
      <name val="휴먼명조"/>
      <family val="3"/>
      <charset val="129"/>
    </font>
    <font>
      <b/>
      <sz val="18"/>
      <color rgb="FF000000"/>
      <name val="휴먼명조"/>
      <family val="3"/>
      <charset val="129"/>
    </font>
    <font>
      <b/>
      <sz val="11"/>
      <color rgb="FF000000"/>
      <name val="휴먼명조"/>
      <family val="3"/>
      <charset val="129"/>
    </font>
    <font>
      <sz val="10"/>
      <color rgb="FF000000"/>
      <name val="휴먼명조"/>
      <family val="3"/>
      <charset val="129"/>
    </font>
    <font>
      <sz val="8"/>
      <color rgb="FF000000"/>
      <name val="휴먼명조"/>
      <family val="3"/>
      <charset val="129"/>
    </font>
    <font>
      <b/>
      <sz val="14"/>
      <name val="맑은 고딕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E2EFD9"/>
        <bgColor rgb="FFE2EFD9"/>
      </patternFill>
    </fill>
    <fill>
      <patternFill patternType="solid">
        <fgColor rgb="FFFEF2CB"/>
        <bgColor rgb="FFFEF2CB"/>
      </patternFill>
    </fill>
    <fill>
      <patternFill patternType="solid">
        <fgColor rgb="FFFFFF00"/>
        <bgColor rgb="FFFFFF00"/>
      </patternFill>
    </fill>
    <fill>
      <patternFill patternType="solid">
        <fgColor rgb="FFF7CAAC"/>
        <bgColor rgb="FFF7CAAC"/>
      </patternFill>
    </fill>
    <fill>
      <patternFill patternType="solid">
        <fgColor rgb="FFDADADA"/>
        <bgColor rgb="FFDADADA"/>
      </patternFill>
    </fill>
    <fill>
      <patternFill patternType="solid">
        <fgColor rgb="FF000000"/>
        <bgColor rgb="FF000000"/>
      </patternFill>
    </fill>
    <fill>
      <patternFill patternType="solid">
        <fgColor rgb="FF7F7F7F"/>
        <bgColor rgb="FF7F7F7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rgb="FFE2EFD9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rgb="FFD8D8D8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rgb="FFFFFF00"/>
      </patternFill>
    </fill>
    <fill>
      <patternFill patternType="solid">
        <fgColor theme="7" tint="0.79998168889431442"/>
        <bgColor rgb="FFE2EFD9"/>
      </patternFill>
    </fill>
    <fill>
      <patternFill patternType="solid">
        <fgColor rgb="FFFFFF0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rgb="FFE2EFD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5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auto="1"/>
      </top>
      <bottom style="double">
        <color auto="1"/>
      </bottom>
      <diagonal/>
    </border>
  </borders>
  <cellStyleXfs count="3">
    <xf numFmtId="0" fontId="0" fillId="0" borderId="0"/>
    <xf numFmtId="41" fontId="14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</cellStyleXfs>
  <cellXfs count="570">
    <xf numFmtId="0" fontId="0" fillId="0" borderId="0" xfId="0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2" fillId="3" borderId="1" xfId="0" applyNumberFormat="1" applyFont="1" applyFill="1" applyBorder="1" applyAlignment="1">
      <alignment horizontal="center" vertical="center" wrapText="1"/>
    </xf>
    <xf numFmtId="176" fontId="2" fillId="3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78" fontId="0" fillId="0" borderId="4" xfId="0" applyNumberFormat="1" applyBorder="1" applyAlignment="1">
      <alignment vertical="center"/>
    </xf>
    <xf numFmtId="0" fontId="2" fillId="0" borderId="0" xfId="0" applyFont="1" applyAlignment="1">
      <alignment vertical="center"/>
    </xf>
    <xf numFmtId="179" fontId="2" fillId="0" borderId="0" xfId="0" applyNumberFormat="1" applyFont="1" applyAlignment="1">
      <alignment vertical="center"/>
    </xf>
    <xf numFmtId="176" fontId="2" fillId="0" borderId="0" xfId="0" applyNumberFormat="1" applyFont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center" vertical="center"/>
    </xf>
    <xf numFmtId="49" fontId="2" fillId="2" borderId="10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7" fontId="2" fillId="3" borderId="1" xfId="0" applyNumberFormat="1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/>
    </xf>
    <xf numFmtId="49" fontId="0" fillId="0" borderId="9" xfId="0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49" fontId="6" fillId="0" borderId="9" xfId="0" applyNumberFormat="1" applyFont="1" applyBorder="1" applyAlignment="1">
      <alignment horizontal="center" vertical="center"/>
    </xf>
    <xf numFmtId="49" fontId="6" fillId="0" borderId="10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14" fontId="0" fillId="5" borderId="1" xfId="0" applyNumberFormat="1" applyFill="1" applyBorder="1" applyAlignment="1">
      <alignment horizontal="center" vertical="center"/>
    </xf>
    <xf numFmtId="177" fontId="0" fillId="3" borderId="1" xfId="0" applyNumberForma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 wrapText="1"/>
    </xf>
    <xf numFmtId="49" fontId="0" fillId="0" borderId="0" xfId="0" applyNumberFormat="1" applyAlignment="1">
      <alignment vertical="center"/>
    </xf>
    <xf numFmtId="0" fontId="0" fillId="7" borderId="6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176" fontId="8" fillId="7" borderId="1" xfId="0" applyNumberFormat="1" applyFont="1" applyFill="1" applyBorder="1" applyAlignment="1">
      <alignment horizontal="center" vertical="center"/>
    </xf>
    <xf numFmtId="176" fontId="9" fillId="7" borderId="1" xfId="0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vertical="center"/>
    </xf>
    <xf numFmtId="49" fontId="0" fillId="7" borderId="1" xfId="0" applyNumberFormat="1" applyFill="1" applyBorder="1" applyAlignment="1">
      <alignment vertical="center"/>
    </xf>
    <xf numFmtId="176" fontId="0" fillId="0" borderId="0" xfId="0" applyNumberFormat="1" applyAlignment="1">
      <alignment vertical="center"/>
    </xf>
    <xf numFmtId="14" fontId="0" fillId="0" borderId="0" xfId="0" applyNumberFormat="1" applyAlignment="1">
      <alignment vertical="center"/>
    </xf>
    <xf numFmtId="49" fontId="0" fillId="8" borderId="9" xfId="0" applyNumberFormat="1" applyFill="1" applyBorder="1" applyAlignment="1">
      <alignment horizontal="center" vertical="center"/>
    </xf>
    <xf numFmtId="49" fontId="0" fillId="8" borderId="10" xfId="0" applyNumberFormat="1" applyFill="1" applyBorder="1" applyAlignment="1">
      <alignment horizontal="center" vertical="center"/>
    </xf>
    <xf numFmtId="49" fontId="0" fillId="5" borderId="9" xfId="0" applyNumberFormat="1" applyFill="1" applyBorder="1" applyAlignment="1">
      <alignment horizontal="center" vertical="center"/>
    </xf>
    <xf numFmtId="49" fontId="0" fillId="5" borderId="10" xfId="0" applyNumberFormat="1" applyFill="1" applyBorder="1" applyAlignment="1">
      <alignment horizontal="center" vertical="center"/>
    </xf>
    <xf numFmtId="49" fontId="0" fillId="8" borderId="1" xfId="0" applyNumberFormat="1" applyFill="1" applyBorder="1" applyAlignment="1">
      <alignment horizontal="center" vertical="center"/>
    </xf>
    <xf numFmtId="14" fontId="10" fillId="0" borderId="1" xfId="0" applyNumberFormat="1" applyFont="1" applyBorder="1" applyAlignment="1">
      <alignment horizontal="center" vertical="center" wrapText="1"/>
    </xf>
    <xf numFmtId="49" fontId="0" fillId="9" borderId="9" xfId="0" applyNumberFormat="1" applyFill="1" applyBorder="1" applyAlignment="1">
      <alignment horizontal="center" vertical="center"/>
    </xf>
    <xf numFmtId="49" fontId="0" fillId="9" borderId="10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49" fontId="12" fillId="0" borderId="9" xfId="0" applyNumberFormat="1" applyFont="1" applyBorder="1" applyAlignment="1">
      <alignment horizontal="center" vertical="center"/>
    </xf>
    <xf numFmtId="49" fontId="12" fillId="0" borderId="10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18" fillId="10" borderId="1" xfId="0" applyNumberFormat="1" applyFont="1" applyFill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 wrapText="1"/>
    </xf>
    <xf numFmtId="14" fontId="0" fillId="0" borderId="14" xfId="0" applyNumberFormat="1" applyBorder="1" applyAlignment="1">
      <alignment horizontal="center" vertical="center" wrapText="1"/>
    </xf>
    <xf numFmtId="41" fontId="0" fillId="0" borderId="1" xfId="1" applyFont="1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41" fontId="17" fillId="10" borderId="1" xfId="1" applyFont="1" applyFill="1" applyBorder="1" applyAlignment="1">
      <alignment horizontal="center" vertical="center"/>
    </xf>
    <xf numFmtId="176" fontId="2" fillId="3" borderId="14" xfId="0" applyNumberFormat="1" applyFont="1" applyFill="1" applyBorder="1" applyAlignment="1">
      <alignment horizontal="center" vertical="center"/>
    </xf>
    <xf numFmtId="177" fontId="0" fillId="0" borderId="15" xfId="0" applyNumberForma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49" fontId="0" fillId="11" borderId="9" xfId="0" applyNumberFormat="1" applyFill="1" applyBorder="1" applyAlignment="1">
      <alignment horizontal="center" vertical="center"/>
    </xf>
    <xf numFmtId="49" fontId="0" fillId="11" borderId="10" xfId="0" applyNumberFormat="1" applyFill="1" applyBorder="1" applyAlignment="1">
      <alignment horizontal="center" vertical="center"/>
    </xf>
    <xf numFmtId="49" fontId="12" fillId="10" borderId="10" xfId="0" applyNumberFormat="1" applyFont="1" applyFill="1" applyBorder="1" applyAlignment="1">
      <alignment horizontal="center" vertical="center"/>
    </xf>
    <xf numFmtId="49" fontId="6" fillId="12" borderId="10" xfId="0" applyNumberFormat="1" applyFont="1" applyFill="1" applyBorder="1" applyAlignment="1">
      <alignment horizontal="center" vertical="center"/>
    </xf>
    <xf numFmtId="49" fontId="12" fillId="13" borderId="10" xfId="0" applyNumberFormat="1" applyFont="1" applyFill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176" fontId="2" fillId="14" borderId="14" xfId="0" applyNumberFormat="1" applyFont="1" applyFill="1" applyBorder="1" applyAlignment="1">
      <alignment horizontal="center" vertical="center"/>
    </xf>
    <xf numFmtId="0" fontId="2" fillId="16" borderId="14" xfId="0" applyFont="1" applyFill="1" applyBorder="1" applyAlignment="1">
      <alignment horizontal="center" vertical="center"/>
    </xf>
    <xf numFmtId="41" fontId="0" fillId="0" borderId="14" xfId="1" applyFont="1" applyBorder="1" applyAlignment="1">
      <alignment horizontal="center" vertical="center"/>
    </xf>
    <xf numFmtId="0" fontId="2" fillId="19" borderId="14" xfId="0" applyFont="1" applyFill="1" applyBorder="1" applyAlignment="1">
      <alignment horizontal="center" vertical="center"/>
    </xf>
    <xf numFmtId="41" fontId="2" fillId="19" borderId="14" xfId="0" applyNumberFormat="1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14" fontId="0" fillId="0" borderId="14" xfId="0" applyNumberFormat="1" applyBorder="1" applyAlignment="1">
      <alignment vertical="center"/>
    </xf>
    <xf numFmtId="0" fontId="2" fillId="16" borderId="16" xfId="0" applyFont="1" applyFill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14" fontId="0" fillId="21" borderId="1" xfId="0" applyNumberFormat="1" applyFill="1" applyBorder="1" applyAlignment="1">
      <alignment horizontal="center" vertical="center"/>
    </xf>
    <xf numFmtId="176" fontId="2" fillId="22" borderId="14" xfId="0" applyNumberFormat="1" applyFont="1" applyFill="1" applyBorder="1" applyAlignment="1">
      <alignment horizontal="center" vertical="center"/>
    </xf>
    <xf numFmtId="14" fontId="6" fillId="0" borderId="9" xfId="0" applyNumberFormat="1" applyFon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14" fontId="12" fillId="0" borderId="9" xfId="0" applyNumberFormat="1" applyFont="1" applyBorder="1" applyAlignment="1">
      <alignment horizontal="center" vertical="center"/>
    </xf>
    <xf numFmtId="14" fontId="0" fillId="11" borderId="9" xfId="0" applyNumberFormat="1" applyFill="1" applyBorder="1" applyAlignment="1">
      <alignment horizontal="center" vertical="center"/>
    </xf>
    <xf numFmtId="14" fontId="3" fillId="23" borderId="9" xfId="0" applyNumberFormat="1" applyFont="1" applyFill="1" applyBorder="1" applyAlignment="1">
      <alignment horizontal="center" vertical="center"/>
    </xf>
    <xf numFmtId="49" fontId="3" fillId="23" borderId="9" xfId="0" applyNumberFormat="1" applyFont="1" applyFill="1" applyBorder="1" applyAlignment="1">
      <alignment horizontal="center" vertical="center"/>
    </xf>
    <xf numFmtId="14" fontId="0" fillId="23" borderId="9" xfId="0" applyNumberFormat="1" applyFill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0" fillId="0" borderId="0" xfId="0" applyAlignment="1">
      <alignment vertical="center"/>
    </xf>
    <xf numFmtId="49" fontId="12" fillId="11" borderId="9" xfId="0" applyNumberFormat="1" applyFont="1" applyFill="1" applyBorder="1" applyAlignment="1">
      <alignment horizontal="center" vertical="center"/>
    </xf>
    <xf numFmtId="49" fontId="12" fillId="11" borderId="10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9" fontId="6" fillId="13" borderId="10" xfId="0" applyNumberFormat="1" applyFont="1" applyFill="1" applyBorder="1" applyAlignment="1">
      <alignment horizontal="center" vertical="center"/>
    </xf>
    <xf numFmtId="14" fontId="6" fillId="24" borderId="9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80" fontId="4" fillId="0" borderId="1" xfId="1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2" borderId="14" xfId="0" applyFont="1" applyFill="1" applyBorder="1" applyAlignment="1">
      <alignment horizontal="center" vertical="center"/>
    </xf>
    <xf numFmtId="49" fontId="6" fillId="12" borderId="14" xfId="0" applyNumberFormat="1" applyFont="1" applyFill="1" applyBorder="1" applyAlignment="1">
      <alignment horizontal="center" vertical="center"/>
    </xf>
    <xf numFmtId="177" fontId="0" fillId="15" borderId="14" xfId="0" applyNumberFormat="1" applyFill="1" applyBorder="1" applyAlignment="1">
      <alignment horizontal="center" vertical="center"/>
    </xf>
    <xf numFmtId="0" fontId="5" fillId="20" borderId="14" xfId="0" applyFont="1" applyFill="1" applyBorder="1" applyAlignment="1">
      <alignment horizontal="center" vertical="center"/>
    </xf>
    <xf numFmtId="49" fontId="12" fillId="10" borderId="14" xfId="0" applyNumberFormat="1" applyFont="1" applyFill="1" applyBorder="1" applyAlignment="1">
      <alignment horizontal="center" vertical="center"/>
    </xf>
    <xf numFmtId="0" fontId="15" fillId="20" borderId="14" xfId="0" applyFont="1" applyFill="1" applyBorder="1" applyAlignment="1">
      <alignment horizontal="center" vertical="center"/>
    </xf>
    <xf numFmtId="49" fontId="12" fillId="13" borderId="14" xfId="0" applyNumberFormat="1" applyFont="1" applyFill="1" applyBorder="1" applyAlignment="1">
      <alignment horizontal="center" vertical="center"/>
    </xf>
    <xf numFmtId="0" fontId="5" fillId="0" borderId="14" xfId="0" applyFont="1" applyBorder="1" applyAlignment="1">
      <alignment horizontal="center" vertical="center" shrinkToFit="1"/>
    </xf>
    <xf numFmtId="0" fontId="15" fillId="0" borderId="14" xfId="0" applyFont="1" applyBorder="1" applyAlignment="1">
      <alignment horizontal="center" vertical="center"/>
    </xf>
    <xf numFmtId="176" fontId="20" fillId="3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6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15" borderId="13" xfId="0" applyFill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26" xfId="0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13" xfId="0" applyFont="1" applyBorder="1" applyAlignment="1">
      <alignment vertical="center" wrapText="1"/>
    </xf>
    <xf numFmtId="0" fontId="23" fillId="0" borderId="13" xfId="0" applyFont="1" applyBorder="1" applyAlignment="1">
      <alignment horizontal="center" vertical="center"/>
    </xf>
    <xf numFmtId="0" fontId="21" fillId="0" borderId="13" xfId="0" applyFont="1" applyBorder="1" applyAlignment="1">
      <alignment horizontal="center" vertical="center"/>
    </xf>
    <xf numFmtId="0" fontId="26" fillId="0" borderId="13" xfId="0" applyFont="1" applyBorder="1" applyAlignment="1">
      <alignment vertical="center"/>
    </xf>
    <xf numFmtId="0" fontId="29" fillId="0" borderId="1" xfId="0" applyFont="1" applyBorder="1" applyAlignment="1">
      <alignment horizontal="center" vertical="center" shrinkToFit="1"/>
    </xf>
    <xf numFmtId="0" fontId="30" fillId="0" borderId="1" xfId="0" applyFont="1" applyBorder="1" applyAlignment="1">
      <alignment horizontal="center" vertical="center" shrinkToFit="1"/>
    </xf>
    <xf numFmtId="14" fontId="0" fillId="26" borderId="9" xfId="0" applyNumberFormat="1" applyFill="1" applyBorder="1" applyAlignment="1">
      <alignment horizontal="center" vertical="center"/>
    </xf>
    <xf numFmtId="176" fontId="0" fillId="26" borderId="1" xfId="0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41" fontId="0" fillId="15" borderId="14" xfId="1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2" fillId="0" borderId="13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177" fontId="0" fillId="15" borderId="13" xfId="0" applyNumberFormat="1" applyFill="1" applyBorder="1" applyAlignment="1">
      <alignment horizontal="center" vertical="center"/>
    </xf>
    <xf numFmtId="176" fontId="2" fillId="14" borderId="13" xfId="0" applyNumberFormat="1" applyFont="1" applyFill="1" applyBorder="1" applyAlignment="1">
      <alignment horizontal="center" vertical="center"/>
    </xf>
    <xf numFmtId="41" fontId="0" fillId="15" borderId="13" xfId="1" applyFont="1" applyFill="1" applyBorder="1" applyAlignment="1">
      <alignment horizontal="center" vertical="center"/>
    </xf>
    <xf numFmtId="14" fontId="0" fillId="0" borderId="13" xfId="0" applyNumberFormat="1" applyBorder="1" applyAlignment="1">
      <alignment vertical="center"/>
    </xf>
    <xf numFmtId="41" fontId="0" fillId="0" borderId="14" xfId="1" applyFont="1" applyBorder="1" applyAlignment="1">
      <alignment horizontal="center" vertical="center" shrinkToFit="1"/>
    </xf>
    <xf numFmtId="41" fontId="2" fillId="0" borderId="14" xfId="1" applyFont="1" applyBorder="1" applyAlignment="1">
      <alignment horizontal="center" vertical="center" shrinkToFit="1"/>
    </xf>
    <xf numFmtId="177" fontId="2" fillId="14" borderId="1" xfId="0" applyNumberFormat="1" applyFont="1" applyFill="1" applyBorder="1" applyAlignment="1">
      <alignment horizontal="center" vertical="center"/>
    </xf>
    <xf numFmtId="177" fontId="2" fillId="14" borderId="1" xfId="0" applyNumberFormat="1" applyFont="1" applyFill="1" applyBorder="1" applyAlignment="1">
      <alignment horizontal="center" vertical="center" wrapText="1"/>
    </xf>
    <xf numFmtId="177" fontId="17" fillId="15" borderId="1" xfId="0" applyNumberFormat="1" applyFont="1" applyFill="1" applyBorder="1" applyAlignment="1">
      <alignment horizontal="center" vertical="center"/>
    </xf>
    <xf numFmtId="177" fontId="2" fillId="14" borderId="14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9" fontId="6" fillId="11" borderId="10" xfId="0" applyNumberFormat="1" applyFont="1" applyFill="1" applyBorder="1" applyAlignment="1">
      <alignment horizontal="center" vertical="center"/>
    </xf>
    <xf numFmtId="14" fontId="33" fillId="0" borderId="1" xfId="0" applyNumberFormat="1" applyFont="1" applyBorder="1" applyAlignment="1">
      <alignment horizontal="center" vertical="center" wrapText="1"/>
    </xf>
    <xf numFmtId="49" fontId="12" fillId="26" borderId="10" xfId="0" applyNumberFormat="1" applyFont="1" applyFill="1" applyBorder="1" applyAlignment="1">
      <alignment horizontal="center" vertical="center"/>
    </xf>
    <xf numFmtId="49" fontId="6" fillId="26" borderId="10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shrinkToFit="1"/>
    </xf>
    <xf numFmtId="0" fontId="2" fillId="13" borderId="14" xfId="0" applyFont="1" applyFill="1" applyBorder="1" applyAlignment="1">
      <alignment horizontal="center" vertical="center" shrinkToFit="1"/>
    </xf>
    <xf numFmtId="0" fontId="2" fillId="13" borderId="16" xfId="0" applyFont="1" applyFill="1" applyBorder="1" applyAlignment="1">
      <alignment horizontal="center" vertical="center"/>
    </xf>
    <xf numFmtId="0" fontId="2" fillId="16" borderId="30" xfId="0" applyFont="1" applyFill="1" applyBorder="1" applyAlignment="1">
      <alignment horizontal="center" vertical="center" wrapText="1"/>
    </xf>
    <xf numFmtId="0" fontId="2" fillId="16" borderId="31" xfId="0" applyFont="1" applyFill="1" applyBorder="1" applyAlignment="1">
      <alignment horizontal="center" vertical="center" wrapText="1"/>
    </xf>
    <xf numFmtId="0" fontId="12" fillId="0" borderId="30" xfId="0" applyFont="1" applyBorder="1" applyAlignment="1">
      <alignment horizontal="center" vertical="center"/>
    </xf>
    <xf numFmtId="177" fontId="2" fillId="0" borderId="31" xfId="0" applyNumberFormat="1" applyFont="1" applyFill="1" applyBorder="1" applyAlignment="1">
      <alignment horizontal="center" vertical="center"/>
    </xf>
    <xf numFmtId="0" fontId="2" fillId="16" borderId="39" xfId="0" applyFont="1" applyFill="1" applyBorder="1" applyAlignment="1">
      <alignment horizontal="center" vertical="center"/>
    </xf>
    <xf numFmtId="0" fontId="2" fillId="16" borderId="40" xfId="0" applyFont="1" applyFill="1" applyBorder="1" applyAlignment="1">
      <alignment horizontal="center" vertical="center"/>
    </xf>
    <xf numFmtId="0" fontId="2" fillId="16" borderId="41" xfId="0" applyFont="1" applyFill="1" applyBorder="1" applyAlignment="1">
      <alignment horizontal="center" vertical="center"/>
    </xf>
    <xf numFmtId="0" fontId="2" fillId="16" borderId="38" xfId="0" applyFont="1" applyFill="1" applyBorder="1" applyAlignment="1">
      <alignment horizontal="center" vertical="center"/>
    </xf>
    <xf numFmtId="0" fontId="2" fillId="16" borderId="37" xfId="0" applyFont="1" applyFill="1" applyBorder="1" applyAlignment="1">
      <alignment horizontal="center" vertical="center"/>
    </xf>
    <xf numFmtId="183" fontId="2" fillId="16" borderId="37" xfId="0" applyNumberFormat="1" applyFont="1" applyFill="1" applyBorder="1" applyAlignment="1">
      <alignment horizontal="center" vertical="center" shrinkToFit="1"/>
    </xf>
    <xf numFmtId="184" fontId="2" fillId="13" borderId="15" xfId="0" applyNumberFormat="1" applyFont="1" applyFill="1" applyBorder="1" applyAlignment="1">
      <alignment horizontal="center" vertical="center"/>
    </xf>
    <xf numFmtId="0" fontId="2" fillId="13" borderId="33" xfId="0" applyFont="1" applyFill="1" applyBorder="1" applyAlignment="1">
      <alignment horizontal="center" vertical="center" wrapText="1"/>
    </xf>
    <xf numFmtId="0" fontId="2" fillId="13" borderId="35" xfId="0" applyFont="1" applyFill="1" applyBorder="1" applyAlignment="1">
      <alignment horizontal="center" vertical="center"/>
    </xf>
    <xf numFmtId="0" fontId="12" fillId="0" borderId="45" xfId="0" applyFont="1" applyBorder="1" applyAlignment="1">
      <alignment horizontal="center" vertical="center"/>
    </xf>
    <xf numFmtId="0" fontId="12" fillId="0" borderId="46" xfId="0" applyFont="1" applyFill="1" applyBorder="1" applyAlignment="1">
      <alignment horizontal="center" vertical="center"/>
    </xf>
    <xf numFmtId="0" fontId="12" fillId="16" borderId="45" xfId="0" applyFont="1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77" fontId="2" fillId="0" borderId="40" xfId="0" applyNumberFormat="1" applyFont="1" applyFill="1" applyBorder="1" applyAlignment="1">
      <alignment horizontal="center" vertical="center"/>
    </xf>
    <xf numFmtId="0" fontId="12" fillId="27" borderId="39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14" fontId="0" fillId="28" borderId="1" xfId="0" applyNumberFormat="1" applyFill="1" applyBorder="1" applyAlignment="1">
      <alignment horizontal="center" vertical="center"/>
    </xf>
    <xf numFmtId="14" fontId="18" fillId="23" borderId="1" xfId="0" applyNumberFormat="1" applyFont="1" applyFill="1" applyBorder="1" applyAlignment="1">
      <alignment horizontal="center" vertical="center"/>
    </xf>
    <xf numFmtId="14" fontId="12" fillId="0" borderId="9" xfId="0" applyNumberFormat="1" applyFont="1" applyBorder="1" applyAlignment="1">
      <alignment horizontal="center" vertical="center" wrapText="1"/>
    </xf>
    <xf numFmtId="14" fontId="40" fillId="12" borderId="37" xfId="0" applyNumberFormat="1" applyFont="1" applyFill="1" applyBorder="1" applyAlignment="1">
      <alignment vertical="center" shrinkToFit="1"/>
    </xf>
    <xf numFmtId="14" fontId="38" fillId="12" borderId="43" xfId="0" applyNumberFormat="1" applyFont="1" applyFill="1" applyBorder="1" applyAlignment="1">
      <alignment vertical="center" shrinkToFit="1"/>
    </xf>
    <xf numFmtId="14" fontId="38" fillId="23" borderId="43" xfId="0" applyNumberFormat="1" applyFont="1" applyFill="1" applyBorder="1" applyAlignment="1">
      <alignment vertical="center" shrinkToFit="1"/>
    </xf>
    <xf numFmtId="0" fontId="40" fillId="23" borderId="37" xfId="0" applyFont="1" applyFill="1" applyBorder="1" applyAlignment="1">
      <alignment vertical="center" shrinkToFit="1"/>
    </xf>
    <xf numFmtId="0" fontId="40" fillId="10" borderId="37" xfId="0" applyFont="1" applyFill="1" applyBorder="1" applyAlignment="1">
      <alignment vertical="center" shrinkToFit="1"/>
    </xf>
    <xf numFmtId="14" fontId="38" fillId="10" borderId="43" xfId="0" applyNumberFormat="1" applyFont="1" applyFill="1" applyBorder="1" applyAlignment="1">
      <alignment vertical="center" shrinkToFit="1"/>
    </xf>
    <xf numFmtId="14" fontId="38" fillId="29" borderId="43" xfId="0" applyNumberFormat="1" applyFont="1" applyFill="1" applyBorder="1" applyAlignment="1">
      <alignment vertical="center" shrinkToFit="1"/>
    </xf>
    <xf numFmtId="0" fontId="40" fillId="29" borderId="37" xfId="0" applyFont="1" applyFill="1" applyBorder="1" applyAlignment="1">
      <alignment vertical="center" shrinkToFit="1"/>
    </xf>
    <xf numFmtId="14" fontId="40" fillId="23" borderId="37" xfId="0" applyNumberFormat="1" applyFont="1" applyFill="1" applyBorder="1" applyAlignment="1">
      <alignment vertical="center" shrinkToFit="1"/>
    </xf>
    <xf numFmtId="14" fontId="40" fillId="10" borderId="37" xfId="0" applyNumberFormat="1" applyFont="1" applyFill="1" applyBorder="1" applyAlignment="1">
      <alignment vertical="center" shrinkToFit="1"/>
    </xf>
    <xf numFmtId="14" fontId="40" fillId="29" borderId="37" xfId="0" applyNumberFormat="1" applyFont="1" applyFill="1" applyBorder="1" applyAlignment="1">
      <alignment vertical="center" shrinkToFit="1"/>
    </xf>
    <xf numFmtId="14" fontId="38" fillId="11" borderId="43" xfId="0" applyNumberFormat="1" applyFont="1" applyFill="1" applyBorder="1" applyAlignment="1">
      <alignment vertical="center" shrinkToFit="1"/>
    </xf>
    <xf numFmtId="0" fontId="40" fillId="11" borderId="37" xfId="0" applyFont="1" applyFill="1" applyBorder="1" applyAlignment="1">
      <alignment vertical="center" shrinkToFit="1"/>
    </xf>
    <xf numFmtId="14" fontId="41" fillId="29" borderId="43" xfId="0" applyNumberFormat="1" applyFont="1" applyFill="1" applyBorder="1" applyAlignment="1">
      <alignment horizontal="center" vertical="center" shrinkToFit="1"/>
    </xf>
    <xf numFmtId="0" fontId="41" fillId="29" borderId="37" xfId="0" applyFont="1" applyFill="1" applyBorder="1" applyAlignment="1">
      <alignment horizontal="center" vertical="center" shrinkToFit="1"/>
    </xf>
    <xf numFmtId="14" fontId="40" fillId="11" borderId="37" xfId="0" applyNumberFormat="1" applyFont="1" applyFill="1" applyBorder="1" applyAlignment="1">
      <alignment vertical="center" shrinkToFit="1"/>
    </xf>
    <xf numFmtId="0" fontId="12" fillId="11" borderId="45" xfId="0" applyFont="1" applyFill="1" applyBorder="1" applyAlignment="1">
      <alignment horizontal="center" vertical="center"/>
    </xf>
    <xf numFmtId="0" fontId="12" fillId="11" borderId="46" xfId="0" applyFont="1" applyFill="1" applyBorder="1" applyAlignment="1">
      <alignment horizontal="center" vertical="center"/>
    </xf>
    <xf numFmtId="0" fontId="0" fillId="11" borderId="39" xfId="0" applyFill="1" applyBorder="1" applyAlignment="1">
      <alignment horizontal="center" vertical="center"/>
    </xf>
    <xf numFmtId="177" fontId="2" fillId="11" borderId="40" xfId="0" applyNumberFormat="1" applyFont="1" applyFill="1" applyBorder="1" applyAlignment="1">
      <alignment horizontal="center" vertical="center"/>
    </xf>
    <xf numFmtId="177" fontId="2" fillId="0" borderId="32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12" fillId="27" borderId="33" xfId="0" applyFont="1" applyFill="1" applyBorder="1" applyAlignment="1">
      <alignment horizontal="center" vertical="center"/>
    </xf>
    <xf numFmtId="14" fontId="40" fillId="11" borderId="17" xfId="0" applyNumberFormat="1" applyFont="1" applyFill="1" applyBorder="1" applyAlignment="1">
      <alignment vertical="center" shrinkToFit="1"/>
    </xf>
    <xf numFmtId="0" fontId="40" fillId="11" borderId="17" xfId="0" applyFont="1" applyFill="1" applyBorder="1" applyAlignment="1">
      <alignment vertical="center" shrinkToFit="1"/>
    </xf>
    <xf numFmtId="0" fontId="40" fillId="29" borderId="17" xfId="0" applyFont="1" applyFill="1" applyBorder="1" applyAlignment="1">
      <alignment vertical="center" shrinkToFit="1"/>
    </xf>
    <xf numFmtId="14" fontId="40" fillId="11" borderId="52" xfId="0" applyNumberFormat="1" applyFont="1" applyFill="1" applyBorder="1" applyAlignment="1">
      <alignment vertical="center" shrinkToFit="1"/>
    </xf>
    <xf numFmtId="0" fontId="40" fillId="11" borderId="52" xfId="0" applyFont="1" applyFill="1" applyBorder="1" applyAlignment="1">
      <alignment vertical="center" shrinkToFit="1"/>
    </xf>
    <xf numFmtId="14" fontId="40" fillId="29" borderId="17" xfId="0" applyNumberFormat="1" applyFont="1" applyFill="1" applyBorder="1" applyAlignment="1">
      <alignment vertical="center" shrinkToFit="1"/>
    </xf>
    <xf numFmtId="14" fontId="40" fillId="11" borderId="53" xfId="0" applyNumberFormat="1" applyFont="1" applyFill="1" applyBorder="1" applyAlignment="1">
      <alignment vertical="center" shrinkToFit="1"/>
    </xf>
    <xf numFmtId="0" fontId="40" fillId="11" borderId="53" xfId="0" applyFont="1" applyFill="1" applyBorder="1" applyAlignment="1">
      <alignment vertical="center" shrinkToFit="1"/>
    </xf>
    <xf numFmtId="0" fontId="12" fillId="0" borderId="33" xfId="0" applyFont="1" applyBorder="1" applyAlignment="1">
      <alignment horizontal="center" vertical="center"/>
    </xf>
    <xf numFmtId="14" fontId="40" fillId="23" borderId="17" xfId="0" applyNumberFormat="1" applyFont="1" applyFill="1" applyBorder="1" applyAlignment="1">
      <alignment vertical="center" shrinkToFit="1"/>
    </xf>
    <xf numFmtId="0" fontId="0" fillId="0" borderId="0" xfId="0" applyAlignment="1">
      <alignment vertical="center"/>
    </xf>
    <xf numFmtId="0" fontId="12" fillId="0" borderId="39" xfId="0" applyFont="1" applyBorder="1" applyAlignment="1">
      <alignment horizontal="center" vertical="center"/>
    </xf>
    <xf numFmtId="14" fontId="40" fillId="23" borderId="37" xfId="1" applyNumberFormat="1" applyFont="1" applyFill="1" applyBorder="1" applyAlignment="1">
      <alignment vertical="center" shrinkToFit="1"/>
    </xf>
    <xf numFmtId="0" fontId="21" fillId="0" borderId="13" xfId="0" applyFont="1" applyBorder="1" applyAlignment="1">
      <alignment vertical="center" wrapText="1"/>
    </xf>
    <xf numFmtId="0" fontId="0" fillId="0" borderId="0" xfId="0" applyAlignment="1">
      <alignment vertical="center"/>
    </xf>
    <xf numFmtId="0" fontId="23" fillId="0" borderId="13" xfId="0" applyFont="1" applyBorder="1" applyAlignment="1">
      <alignment vertical="center" wrapText="1"/>
    </xf>
    <xf numFmtId="9" fontId="0" fillId="0" borderId="0" xfId="2" applyFont="1" applyAlignment="1">
      <alignment vertical="center"/>
    </xf>
    <xf numFmtId="0" fontId="0" fillId="0" borderId="0" xfId="0" applyAlignment="1">
      <alignment vertical="center"/>
    </xf>
    <xf numFmtId="0" fontId="12" fillId="0" borderId="19" xfId="0" applyFont="1" applyBorder="1" applyAlignment="1">
      <alignment horizontal="center" vertical="center" shrinkToFit="1"/>
    </xf>
    <xf numFmtId="0" fontId="12" fillId="0" borderId="51" xfId="0" applyFont="1" applyBorder="1" applyAlignment="1">
      <alignment horizontal="center" vertical="center"/>
    </xf>
    <xf numFmtId="0" fontId="0" fillId="0" borderId="0" xfId="0" applyAlignment="1">
      <alignment vertical="center"/>
    </xf>
    <xf numFmtId="41" fontId="0" fillId="0" borderId="0" xfId="1" applyFont="1" applyAlignment="1">
      <alignment vertical="center"/>
    </xf>
    <xf numFmtId="0" fontId="0" fillId="0" borderId="0" xfId="0" applyAlignment="1">
      <alignment vertical="center"/>
    </xf>
    <xf numFmtId="14" fontId="40" fillId="12" borderId="52" xfId="0" applyNumberFormat="1" applyFont="1" applyFill="1" applyBorder="1" applyAlignment="1">
      <alignment vertical="center" shrinkToFit="1"/>
    </xf>
    <xf numFmtId="0" fontId="0" fillId="0" borderId="0" xfId="0" applyAlignment="1">
      <alignment vertical="center"/>
    </xf>
    <xf numFmtId="177" fontId="12" fillId="0" borderId="31" xfId="0" applyNumberFormat="1" applyFont="1" applyFill="1" applyBorder="1" applyAlignment="1">
      <alignment horizontal="center" vertical="center"/>
    </xf>
    <xf numFmtId="43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44" fillId="0" borderId="0" xfId="0" applyFont="1" applyAlignment="1">
      <alignment vertical="center"/>
    </xf>
    <xf numFmtId="0" fontId="46" fillId="0" borderId="0" xfId="0" applyFont="1" applyAlignment="1">
      <alignment vertical="center"/>
    </xf>
    <xf numFmtId="0" fontId="44" fillId="0" borderId="21" xfId="0" applyFont="1" applyBorder="1" applyAlignment="1">
      <alignment vertical="center"/>
    </xf>
    <xf numFmtId="0" fontId="44" fillId="0" borderId="15" xfId="0" applyFont="1" applyBorder="1" applyAlignment="1">
      <alignment horizontal="center" vertical="center"/>
    </xf>
    <xf numFmtId="0" fontId="44" fillId="0" borderId="27" xfId="0" applyFont="1" applyBorder="1" applyAlignment="1">
      <alignment horizontal="center" vertical="center"/>
    </xf>
    <xf numFmtId="176" fontId="44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0" fillId="0" borderId="0" xfId="0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30" borderId="14" xfId="0" applyFont="1" applyFill="1" applyBorder="1" applyAlignment="1">
      <alignment horizontal="center" vertical="center"/>
    </xf>
    <xf numFmtId="0" fontId="12" fillId="16" borderId="17" xfId="0" applyFont="1" applyFill="1" applyBorder="1" applyAlignment="1">
      <alignment horizontal="center" vertical="center"/>
    </xf>
    <xf numFmtId="0" fontId="12" fillId="31" borderId="14" xfId="0" applyFont="1" applyFill="1" applyBorder="1" applyAlignment="1">
      <alignment horizontal="center" vertical="center" wrapText="1"/>
    </xf>
    <xf numFmtId="0" fontId="12" fillId="31" borderId="14" xfId="0" applyFont="1" applyFill="1" applyBorder="1" applyAlignment="1">
      <alignment horizontal="center" vertical="center"/>
    </xf>
    <xf numFmtId="183" fontId="12" fillId="31" borderId="15" xfId="0" applyNumberFormat="1" applyFont="1" applyFill="1" applyBorder="1" applyAlignment="1">
      <alignment horizontal="center" vertical="center"/>
    </xf>
    <xf numFmtId="0" fontId="12" fillId="31" borderId="17" xfId="0" applyFont="1" applyFill="1" applyBorder="1" applyAlignment="1">
      <alignment horizontal="center" vertical="center" wrapText="1"/>
    </xf>
    <xf numFmtId="0" fontId="12" fillId="31" borderId="57" xfId="0" applyFont="1" applyFill="1" applyBorder="1" applyAlignment="1">
      <alignment horizontal="center" vertical="center"/>
    </xf>
    <xf numFmtId="14" fontId="0" fillId="0" borderId="0" xfId="1" applyNumberFormat="1" applyFont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8" xfId="0" applyBorder="1" applyAlignment="1">
      <alignment vertical="center"/>
    </xf>
    <xf numFmtId="14" fontId="0" fillId="0" borderId="58" xfId="1" applyNumberFormat="1" applyFont="1" applyBorder="1" applyAlignment="1">
      <alignment horizontal="center" vertical="center"/>
    </xf>
    <xf numFmtId="183" fontId="6" fillId="23" borderId="14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41" fontId="0" fillId="0" borderId="14" xfId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89" fontId="0" fillId="31" borderId="13" xfId="1" applyNumberFormat="1" applyFont="1" applyFill="1" applyBorder="1" applyAlignment="1">
      <alignment horizontal="center" vertical="center"/>
    </xf>
    <xf numFmtId="189" fontId="0" fillId="31" borderId="23" xfId="1" applyNumberFormat="1" applyFont="1" applyFill="1" applyBorder="1" applyAlignment="1">
      <alignment horizontal="center" vertical="center"/>
    </xf>
    <xf numFmtId="189" fontId="0" fillId="32" borderId="13" xfId="1" applyNumberFormat="1" applyFont="1" applyFill="1" applyBorder="1" applyAlignment="1">
      <alignment horizontal="center" vertical="center"/>
    </xf>
    <xf numFmtId="189" fontId="0" fillId="32" borderId="23" xfId="1" applyNumberFormat="1" applyFont="1" applyFill="1" applyBorder="1" applyAlignment="1">
      <alignment horizontal="center" vertical="center"/>
    </xf>
    <xf numFmtId="189" fontId="0" fillId="29" borderId="13" xfId="1" applyNumberFormat="1" applyFont="1" applyFill="1" applyBorder="1" applyAlignment="1">
      <alignment horizontal="center" vertical="center"/>
    </xf>
    <xf numFmtId="189" fontId="0" fillId="29" borderId="23" xfId="1" applyNumberFormat="1" applyFont="1" applyFill="1" applyBorder="1" applyAlignment="1">
      <alignment horizontal="center" vertical="center"/>
    </xf>
    <xf numFmtId="189" fontId="0" fillId="23" borderId="13" xfId="1" applyNumberFormat="1" applyFont="1" applyFill="1" applyBorder="1" applyAlignment="1">
      <alignment horizontal="center" vertical="center"/>
    </xf>
    <xf numFmtId="189" fontId="0" fillId="23" borderId="23" xfId="1" applyNumberFormat="1" applyFont="1" applyFill="1" applyBorder="1" applyAlignment="1">
      <alignment horizontal="center" vertical="center"/>
    </xf>
    <xf numFmtId="189" fontId="0" fillId="26" borderId="13" xfId="1" applyNumberFormat="1" applyFont="1" applyFill="1" applyBorder="1" applyAlignment="1">
      <alignment horizontal="center" vertical="center"/>
    </xf>
    <xf numFmtId="189" fontId="0" fillId="26" borderId="23" xfId="1" applyNumberFormat="1" applyFont="1" applyFill="1" applyBorder="1" applyAlignment="1">
      <alignment horizontal="center" vertical="center"/>
    </xf>
    <xf numFmtId="189" fontId="0" fillId="0" borderId="13" xfId="1" applyNumberFormat="1" applyFont="1" applyBorder="1" applyAlignment="1">
      <alignment horizontal="center" vertical="center"/>
    </xf>
    <xf numFmtId="189" fontId="0" fillId="0" borderId="23" xfId="1" applyNumberFormat="1" applyFont="1" applyBorder="1" applyAlignment="1">
      <alignment horizontal="center" vertical="center"/>
    </xf>
    <xf numFmtId="0" fontId="12" fillId="16" borderId="52" xfId="0" applyFont="1" applyFill="1" applyBorder="1" applyAlignment="1">
      <alignment horizontal="center" vertical="center"/>
    </xf>
    <xf numFmtId="0" fontId="12" fillId="23" borderId="52" xfId="0" applyFont="1" applyFill="1" applyBorder="1" applyAlignment="1">
      <alignment horizontal="center" vertical="center"/>
    </xf>
    <xf numFmtId="188" fontId="0" fillId="0" borderId="14" xfId="0" applyNumberFormat="1" applyBorder="1" applyAlignment="1">
      <alignment horizontal="center" vertical="center"/>
    </xf>
    <xf numFmtId="187" fontId="6" fillId="0" borderId="14" xfId="0" applyNumberFormat="1" applyFont="1" applyBorder="1" applyAlignment="1">
      <alignment horizontal="center" vertical="center"/>
    </xf>
    <xf numFmtId="177" fontId="0" fillId="31" borderId="14" xfId="1" applyNumberFormat="1" applyFont="1" applyFill="1" applyBorder="1" applyAlignment="1">
      <alignment horizontal="center" vertical="center"/>
    </xf>
    <xf numFmtId="177" fontId="0" fillId="0" borderId="14" xfId="0" applyNumberFormat="1" applyBorder="1" applyAlignment="1">
      <alignment horizontal="center" vertical="center"/>
    </xf>
    <xf numFmtId="177" fontId="0" fillId="29" borderId="14" xfId="1" applyNumberFormat="1" applyFont="1" applyFill="1" applyBorder="1" applyAlignment="1">
      <alignment horizontal="center" vertical="center"/>
    </xf>
    <xf numFmtId="177" fontId="0" fillId="26" borderId="14" xfId="1" applyNumberFormat="1" applyFont="1" applyFill="1" applyBorder="1" applyAlignment="1">
      <alignment horizontal="center" vertical="center"/>
    </xf>
    <xf numFmtId="177" fontId="12" fillId="0" borderId="14" xfId="0" applyNumberFormat="1" applyFont="1" applyBorder="1" applyAlignment="1">
      <alignment horizontal="center" vertical="center"/>
    </xf>
    <xf numFmtId="14" fontId="12" fillId="0" borderId="14" xfId="0" applyNumberFormat="1" applyFont="1" applyBorder="1" applyAlignment="1">
      <alignment horizontal="center" vertical="center"/>
    </xf>
    <xf numFmtId="0" fontId="0" fillId="32" borderId="14" xfId="0" applyFill="1" applyBorder="1" applyAlignment="1">
      <alignment horizontal="center" vertical="center"/>
    </xf>
    <xf numFmtId="188" fontId="0" fillId="32" borderId="14" xfId="0" applyNumberFormat="1" applyFill="1" applyBorder="1" applyAlignment="1">
      <alignment horizontal="center" vertical="center"/>
    </xf>
    <xf numFmtId="187" fontId="6" fillId="32" borderId="14" xfId="0" applyNumberFormat="1" applyFont="1" applyFill="1" applyBorder="1" applyAlignment="1">
      <alignment horizontal="center" vertical="center"/>
    </xf>
    <xf numFmtId="0" fontId="12" fillId="32" borderId="14" xfId="0" applyFont="1" applyFill="1" applyBorder="1" applyAlignment="1">
      <alignment horizontal="center" vertical="center"/>
    </xf>
    <xf numFmtId="177" fontId="0" fillId="32" borderId="14" xfId="0" applyNumberFormat="1" applyFill="1" applyBorder="1" applyAlignment="1">
      <alignment horizontal="center" vertical="center"/>
    </xf>
    <xf numFmtId="177" fontId="12" fillId="32" borderId="14" xfId="0" applyNumberFormat="1" applyFont="1" applyFill="1" applyBorder="1" applyAlignment="1">
      <alignment horizontal="center" vertical="center"/>
    </xf>
    <xf numFmtId="41" fontId="12" fillId="32" borderId="14" xfId="1" applyFont="1" applyFill="1" applyBorder="1" applyAlignment="1">
      <alignment horizontal="center" vertical="center"/>
    </xf>
    <xf numFmtId="14" fontId="0" fillId="32" borderId="14" xfId="0" applyNumberFormat="1" applyFill="1" applyBorder="1" applyAlignment="1">
      <alignment horizontal="center" vertical="center"/>
    </xf>
    <xf numFmtId="41" fontId="0" fillId="32" borderId="14" xfId="1" applyFont="1" applyFill="1" applyBorder="1" applyAlignment="1">
      <alignment horizontal="center" vertical="center"/>
    </xf>
    <xf numFmtId="177" fontId="0" fillId="32" borderId="14" xfId="1" applyNumberFormat="1" applyFont="1" applyFill="1" applyBorder="1" applyAlignment="1">
      <alignment horizontal="center" vertical="center"/>
    </xf>
    <xf numFmtId="187" fontId="10" fillId="0" borderId="14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88" fontId="0" fillId="0" borderId="17" xfId="0" applyNumberFormat="1" applyBorder="1" applyAlignment="1">
      <alignment horizontal="center" vertical="center"/>
    </xf>
    <xf numFmtId="187" fontId="6" fillId="0" borderId="17" xfId="0" applyNumberFormat="1" applyFont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41" fontId="0" fillId="0" borderId="17" xfId="1" applyFont="1" applyBorder="1" applyAlignment="1">
      <alignment horizontal="center" vertical="center"/>
    </xf>
    <xf numFmtId="0" fontId="0" fillId="0" borderId="17" xfId="0" applyBorder="1" applyAlignment="1">
      <alignment vertical="center"/>
    </xf>
    <xf numFmtId="41" fontId="0" fillId="0" borderId="14" xfId="1" applyFont="1" applyBorder="1" applyAlignment="1">
      <alignment horizontal="center" vertical="center"/>
    </xf>
    <xf numFmtId="189" fontId="12" fillId="31" borderId="23" xfId="1" applyNumberFormat="1" applyFont="1" applyFill="1" applyBorder="1" applyAlignment="1">
      <alignment horizontal="center" vertical="center"/>
    </xf>
    <xf numFmtId="41" fontId="12" fillId="0" borderId="14" xfId="1" quotePrefix="1" applyFont="1" applyBorder="1" applyAlignment="1">
      <alignment horizontal="center" vertical="center"/>
    </xf>
    <xf numFmtId="41" fontId="12" fillId="0" borderId="14" xfId="1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0" fillId="0" borderId="0" xfId="0" applyAlignment="1">
      <alignment vertical="center"/>
    </xf>
    <xf numFmtId="41" fontId="0" fillId="0" borderId="14" xfId="1" applyFont="1" applyBorder="1" applyAlignment="1">
      <alignment horizontal="center" vertical="center"/>
    </xf>
    <xf numFmtId="41" fontId="0" fillId="0" borderId="14" xfId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41" fontId="0" fillId="0" borderId="14" xfId="1" applyFont="1" applyBorder="1" applyAlignment="1">
      <alignment horizontal="center" vertical="center"/>
    </xf>
    <xf numFmtId="0" fontId="29" fillId="0" borderId="14" xfId="0" applyFont="1" applyBorder="1" applyAlignment="1">
      <alignment horizontal="center" vertical="center" shrinkToFit="1"/>
    </xf>
    <xf numFmtId="0" fontId="29" fillId="32" borderId="14" xfId="0" applyFont="1" applyFill="1" applyBorder="1" applyAlignment="1">
      <alignment horizontal="center" vertical="center" shrinkToFit="1"/>
    </xf>
    <xf numFmtId="0" fontId="29" fillId="0" borderId="14" xfId="0" applyFont="1" applyBorder="1" applyAlignment="1">
      <alignment vertical="center" shrinkToFit="1"/>
    </xf>
    <xf numFmtId="0" fontId="29" fillId="0" borderId="17" xfId="0" applyFont="1" applyBorder="1" applyAlignment="1">
      <alignment vertical="center" shrinkToFit="1"/>
    </xf>
    <xf numFmtId="188" fontId="12" fillId="0" borderId="14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41" fontId="0" fillId="0" borderId="14" xfId="1" applyFont="1" applyBorder="1" applyAlignment="1">
      <alignment horizontal="center" vertical="center"/>
    </xf>
    <xf numFmtId="187" fontId="3" fillId="32" borderId="14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41" fontId="12" fillId="0" borderId="14" xfId="1" applyFont="1" applyBorder="1" applyAlignment="1">
      <alignment horizontal="center" vertical="center"/>
    </xf>
    <xf numFmtId="41" fontId="0" fillId="0" borderId="14" xfId="1" applyFont="1" applyBorder="1" applyAlignment="1">
      <alignment horizontal="center" vertical="center"/>
    </xf>
    <xf numFmtId="0" fontId="12" fillId="31" borderId="14" xfId="0" applyFont="1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12" fillId="31" borderId="14" xfId="0" applyFont="1" applyFill="1" applyBorder="1" applyAlignment="1">
      <alignment horizontal="center" vertical="center"/>
    </xf>
    <xf numFmtId="0" fontId="12" fillId="30" borderId="14" xfId="0" applyFont="1" applyFill="1" applyBorder="1" applyAlignment="1">
      <alignment horizontal="center" vertical="center"/>
    </xf>
    <xf numFmtId="183" fontId="12" fillId="31" borderId="15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1" fontId="0" fillId="0" borderId="14" xfId="1" applyFont="1" applyBorder="1" applyAlignment="1">
      <alignment horizontal="center" vertical="center"/>
    </xf>
    <xf numFmtId="14" fontId="0" fillId="12" borderId="14" xfId="0" applyNumberFormat="1" applyFill="1" applyBorder="1" applyAlignment="1">
      <alignment horizontal="center" vertical="center"/>
    </xf>
    <xf numFmtId="189" fontId="0" fillId="11" borderId="13" xfId="1" applyNumberFormat="1" applyFont="1" applyFill="1" applyBorder="1" applyAlignment="1">
      <alignment horizontal="center" vertical="center"/>
    </xf>
    <xf numFmtId="189" fontId="0" fillId="11" borderId="23" xfId="1" applyNumberFormat="1" applyFont="1" applyFill="1" applyBorder="1" applyAlignment="1">
      <alignment horizontal="center" vertical="center"/>
    </xf>
    <xf numFmtId="41" fontId="0" fillId="0" borderId="14" xfId="1" applyFont="1" applyBorder="1" applyAlignment="1">
      <alignment horizontal="center" vertical="center"/>
    </xf>
    <xf numFmtId="41" fontId="0" fillId="11" borderId="14" xfId="1" applyFont="1" applyFill="1" applyBorder="1" applyAlignment="1">
      <alignment horizontal="center" vertical="center"/>
    </xf>
    <xf numFmtId="14" fontId="0" fillId="11" borderId="14" xfId="0" applyNumberFormat="1" applyFill="1" applyBorder="1" applyAlignment="1">
      <alignment horizontal="center" vertical="center"/>
    </xf>
    <xf numFmtId="177" fontId="0" fillId="11" borderId="14" xfId="1" applyNumberFormat="1" applyFont="1" applyFill="1" applyBorder="1" applyAlignment="1">
      <alignment horizontal="center" vertical="center"/>
    </xf>
    <xf numFmtId="177" fontId="12" fillId="11" borderId="14" xfId="0" applyNumberFormat="1" applyFont="1" applyFill="1" applyBorder="1" applyAlignment="1">
      <alignment horizontal="center" vertical="center"/>
    </xf>
    <xf numFmtId="41" fontId="0" fillId="0" borderId="14" xfId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41" fontId="0" fillId="0" borderId="14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41" fontId="12" fillId="0" borderId="14" xfId="1" applyFont="1" applyBorder="1" applyAlignment="1">
      <alignment horizontal="center" vertical="center"/>
    </xf>
    <xf numFmtId="41" fontId="0" fillId="0" borderId="14" xfId="1" applyFont="1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29" fillId="0" borderId="57" xfId="0" applyFont="1" applyBorder="1" applyAlignment="1">
      <alignment horizontal="center" vertical="center" shrinkToFit="1"/>
    </xf>
    <xf numFmtId="187" fontId="10" fillId="0" borderId="57" xfId="0" applyNumberFormat="1" applyFont="1" applyBorder="1" applyAlignment="1">
      <alignment horizontal="center" vertical="center"/>
    </xf>
    <xf numFmtId="14" fontId="0" fillId="0" borderId="57" xfId="0" applyNumberFormat="1" applyBorder="1" applyAlignment="1">
      <alignment horizontal="center" vertical="center"/>
    </xf>
    <xf numFmtId="0" fontId="0" fillId="33" borderId="14" xfId="0" applyFill="1" applyBorder="1" applyAlignment="1">
      <alignment horizontal="center" vertical="center"/>
    </xf>
    <xf numFmtId="0" fontId="29" fillId="33" borderId="14" xfId="0" applyFont="1" applyFill="1" applyBorder="1" applyAlignment="1">
      <alignment horizontal="center" vertical="center" shrinkToFit="1"/>
    </xf>
    <xf numFmtId="188" fontId="0" fillId="33" borderId="14" xfId="0" applyNumberFormat="1" applyFill="1" applyBorder="1" applyAlignment="1">
      <alignment horizontal="center" vertical="center"/>
    </xf>
    <xf numFmtId="187" fontId="10" fillId="33" borderId="14" xfId="0" applyNumberFormat="1" applyFont="1" applyFill="1" applyBorder="1" applyAlignment="1">
      <alignment horizontal="center" vertical="center"/>
    </xf>
    <xf numFmtId="14" fontId="0" fillId="33" borderId="14" xfId="0" applyNumberFormat="1" applyFill="1" applyBorder="1" applyAlignment="1">
      <alignment horizontal="center" vertical="center"/>
    </xf>
    <xf numFmtId="41" fontId="0" fillId="33" borderId="14" xfId="1" applyFont="1" applyFill="1" applyBorder="1" applyAlignment="1">
      <alignment horizontal="center" vertical="center"/>
    </xf>
    <xf numFmtId="177" fontId="0" fillId="33" borderId="14" xfId="1" applyNumberFormat="1" applyFont="1" applyFill="1" applyBorder="1" applyAlignment="1">
      <alignment horizontal="center" vertical="center"/>
    </xf>
    <xf numFmtId="177" fontId="0" fillId="33" borderId="14" xfId="0" applyNumberFormat="1" applyFill="1" applyBorder="1" applyAlignment="1">
      <alignment horizontal="center" vertical="center"/>
    </xf>
    <xf numFmtId="189" fontId="0" fillId="33" borderId="13" xfId="1" applyNumberFormat="1" applyFont="1" applyFill="1" applyBorder="1" applyAlignment="1">
      <alignment horizontal="center" vertical="center"/>
    </xf>
    <xf numFmtId="189" fontId="0" fillId="33" borderId="23" xfId="1" applyNumberFormat="1" applyFont="1" applyFill="1" applyBorder="1" applyAlignment="1">
      <alignment horizontal="center" vertical="center"/>
    </xf>
    <xf numFmtId="0" fontId="6" fillId="23" borderId="17" xfId="0" applyFont="1" applyFill="1" applyBorder="1" applyAlignment="1">
      <alignment horizontal="center" vertical="center"/>
    </xf>
    <xf numFmtId="41" fontId="12" fillId="11" borderId="14" xfId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41" fontId="0" fillId="0" borderId="14" xfId="1" applyFont="1" applyBorder="1" applyAlignment="1">
      <alignment horizontal="center" vertical="center"/>
    </xf>
    <xf numFmtId="187" fontId="50" fillId="0" borderId="14" xfId="0" applyNumberFormat="1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41" fontId="12" fillId="0" borderId="14" xfId="1" applyFont="1" applyBorder="1" applyAlignment="1">
      <alignment horizontal="center" vertical="center"/>
    </xf>
    <xf numFmtId="41" fontId="0" fillId="0" borderId="14" xfId="1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0" borderId="3" xfId="0" applyFont="1" applyBorder="1" applyAlignment="1">
      <alignment vertical="center"/>
    </xf>
    <xf numFmtId="181" fontId="2" fillId="0" borderId="18" xfId="0" applyNumberFormat="1" applyFont="1" applyBorder="1" applyAlignment="1">
      <alignment horizontal="center" vertical="center"/>
    </xf>
    <xf numFmtId="181" fontId="2" fillId="0" borderId="19" xfId="0" applyNumberFormat="1" applyFont="1" applyBorder="1" applyAlignment="1">
      <alignment horizontal="center" vertical="center"/>
    </xf>
    <xf numFmtId="181" fontId="2" fillId="0" borderId="13" xfId="0" applyNumberFormat="1" applyFont="1" applyBorder="1" applyAlignment="1">
      <alignment horizontal="center" vertical="center"/>
    </xf>
    <xf numFmtId="0" fontId="28" fillId="0" borderId="20" xfId="0" applyFont="1" applyBorder="1" applyAlignment="1">
      <alignment horizontal="center" vertical="center"/>
    </xf>
    <xf numFmtId="0" fontId="28" fillId="0" borderId="21" xfId="0" applyFont="1" applyBorder="1" applyAlignment="1">
      <alignment horizontal="center" vertical="center"/>
    </xf>
    <xf numFmtId="0" fontId="28" fillId="0" borderId="22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23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8" fillId="0" borderId="25" xfId="0" applyFont="1" applyBorder="1" applyAlignment="1">
      <alignment horizontal="center" vertical="center"/>
    </xf>
    <xf numFmtId="0" fontId="28" fillId="0" borderId="26" xfId="0" applyFont="1" applyBorder="1" applyAlignment="1">
      <alignment horizontal="center" vertical="center"/>
    </xf>
    <xf numFmtId="0" fontId="23" fillId="25" borderId="14" xfId="0" applyFont="1" applyFill="1" applyBorder="1" applyAlignment="1">
      <alignment horizontal="center" vertical="center"/>
    </xf>
    <xf numFmtId="0" fontId="21" fillId="0" borderId="14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1" fillId="0" borderId="13" xfId="0" applyFont="1" applyBorder="1" applyAlignment="1">
      <alignment vertical="center"/>
    </xf>
    <xf numFmtId="0" fontId="21" fillId="0" borderId="13" xfId="0" applyFont="1" applyBorder="1" applyAlignment="1">
      <alignment vertical="center" wrapText="1"/>
    </xf>
    <xf numFmtId="0" fontId="43" fillId="0" borderId="13" xfId="0" applyFont="1" applyBorder="1" applyAlignment="1">
      <alignment vertical="center" wrapText="1"/>
    </xf>
    <xf numFmtId="0" fontId="23" fillId="0" borderId="13" xfId="0" applyFont="1" applyBorder="1" applyAlignment="1">
      <alignment vertical="center" wrapText="1"/>
    </xf>
    <xf numFmtId="41" fontId="23" fillId="0" borderId="13" xfId="1" applyFont="1" applyBorder="1" applyAlignment="1">
      <alignment vertical="center" wrapText="1"/>
    </xf>
    <xf numFmtId="9" fontId="23" fillId="0" borderId="13" xfId="0" applyNumberFormat="1" applyFont="1" applyBorder="1" applyAlignment="1">
      <alignment vertical="center" wrapText="1"/>
    </xf>
    <xf numFmtId="41" fontId="23" fillId="0" borderId="13" xfId="0" applyNumberFormat="1" applyFont="1" applyBorder="1" applyAlignment="1">
      <alignment vertical="center" wrapText="1"/>
    </xf>
    <xf numFmtId="14" fontId="21" fillId="0" borderId="15" xfId="0" applyNumberFormat="1" applyFont="1" applyBorder="1" applyAlignment="1">
      <alignment vertical="center"/>
    </xf>
    <xf numFmtId="0" fontId="21" fillId="0" borderId="27" xfId="0" applyFont="1" applyBorder="1" applyAlignment="1">
      <alignment vertical="center"/>
    </xf>
    <xf numFmtId="0" fontId="21" fillId="0" borderId="21" xfId="0" applyFont="1" applyBorder="1" applyAlignment="1">
      <alignment vertical="center"/>
    </xf>
    <xf numFmtId="0" fontId="21" fillId="0" borderId="21" xfId="0" applyFont="1" applyBorder="1" applyAlignment="1">
      <alignment horizontal="left" vertical="center"/>
    </xf>
    <xf numFmtId="14" fontId="21" fillId="0" borderId="27" xfId="0" applyNumberFormat="1" applyFont="1" applyBorder="1" applyAlignment="1">
      <alignment vertical="center"/>
    </xf>
    <xf numFmtId="0" fontId="21" fillId="0" borderId="22" xfId="0" applyFont="1" applyBorder="1" applyAlignment="1">
      <alignment horizontal="left" vertical="center"/>
    </xf>
    <xf numFmtId="41" fontId="25" fillId="0" borderId="17" xfId="1" applyFont="1" applyBorder="1" applyAlignment="1">
      <alignment horizontal="center" vertical="center"/>
    </xf>
    <xf numFmtId="0" fontId="21" fillId="0" borderId="27" xfId="0" applyFont="1" applyBorder="1" applyAlignment="1">
      <alignment horizontal="left" vertical="center"/>
    </xf>
    <xf numFmtId="0" fontId="21" fillId="0" borderId="16" xfId="0" applyFont="1" applyBorder="1" applyAlignment="1">
      <alignment horizontal="left" vertical="center"/>
    </xf>
    <xf numFmtId="41" fontId="23" fillId="0" borderId="27" xfId="1" applyFont="1" applyBorder="1" applyAlignment="1">
      <alignment horizontal="center" vertical="center"/>
    </xf>
    <xf numFmtId="41" fontId="23" fillId="0" borderId="16" xfId="1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4" fillId="25" borderId="14" xfId="0" applyFont="1" applyFill="1" applyBorder="1" applyAlignment="1">
      <alignment horizontal="center" vertical="center"/>
    </xf>
    <xf numFmtId="0" fontId="24" fillId="25" borderId="15" xfId="0" applyFont="1" applyFill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14" fontId="25" fillId="0" borderId="20" xfId="0" applyNumberFormat="1" applyFont="1" applyBorder="1" applyAlignment="1">
      <alignment horizontal="right" vertical="center"/>
    </xf>
    <xf numFmtId="14" fontId="25" fillId="0" borderId="21" xfId="0" applyNumberFormat="1" applyFont="1" applyBorder="1" applyAlignment="1">
      <alignment horizontal="right" vertical="center"/>
    </xf>
    <xf numFmtId="14" fontId="25" fillId="0" borderId="24" xfId="0" applyNumberFormat="1" applyFont="1" applyBorder="1" applyAlignment="1">
      <alignment horizontal="right" vertical="center"/>
    </xf>
    <xf numFmtId="14" fontId="25" fillId="0" borderId="25" xfId="0" applyNumberFormat="1" applyFont="1" applyBorder="1" applyAlignment="1">
      <alignment horizontal="right" vertical="center"/>
    </xf>
    <xf numFmtId="0" fontId="23" fillId="0" borderId="21" xfId="0" applyFont="1" applyBorder="1" applyAlignment="1">
      <alignment horizontal="left" vertical="center"/>
    </xf>
    <xf numFmtId="0" fontId="23" fillId="0" borderId="22" xfId="0" applyFont="1" applyBorder="1" applyAlignment="1">
      <alignment horizontal="left" vertical="center"/>
    </xf>
    <xf numFmtId="0" fontId="23" fillId="0" borderId="25" xfId="0" applyFont="1" applyBorder="1" applyAlignment="1">
      <alignment horizontal="left" vertical="center"/>
    </xf>
    <xf numFmtId="0" fontId="23" fillId="0" borderId="26" xfId="0" applyFont="1" applyBorder="1" applyAlignment="1">
      <alignment horizontal="left" vertical="center"/>
    </xf>
    <xf numFmtId="182" fontId="23" fillId="0" borderId="13" xfId="0" applyNumberFormat="1" applyFont="1" applyBorder="1" applyAlignment="1">
      <alignment horizontal="center" vertical="center"/>
    </xf>
    <xf numFmtId="14" fontId="21" fillId="0" borderId="15" xfId="0" applyNumberFormat="1" applyFont="1" applyBorder="1" applyAlignment="1">
      <alignment horizontal="right" vertical="center"/>
    </xf>
    <xf numFmtId="14" fontId="21" fillId="0" borderId="27" xfId="0" applyNumberFormat="1" applyFont="1" applyBorder="1" applyAlignment="1">
      <alignment horizontal="right" vertical="center"/>
    </xf>
    <xf numFmtId="0" fontId="12" fillId="31" borderId="14" xfId="0" applyFont="1" applyFill="1" applyBorder="1" applyAlignment="1">
      <alignment horizontal="center" vertical="center" wrapText="1"/>
    </xf>
    <xf numFmtId="183" fontId="12" fillId="30" borderId="14" xfId="0" applyNumberFormat="1" applyFont="1" applyFill="1" applyBorder="1" applyAlignment="1">
      <alignment horizontal="center" vertical="center"/>
    </xf>
    <xf numFmtId="183" fontId="12" fillId="31" borderId="14" xfId="0" applyNumberFormat="1" applyFont="1" applyFill="1" applyBorder="1" applyAlignment="1">
      <alignment horizontal="center" vertical="center"/>
    </xf>
    <xf numFmtId="183" fontId="12" fillId="31" borderId="15" xfId="0" applyNumberFormat="1" applyFont="1" applyFill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2" fillId="16" borderId="15" xfId="0" applyFont="1" applyFill="1" applyBorder="1" applyAlignment="1">
      <alignment horizontal="center" vertical="center"/>
    </xf>
    <xf numFmtId="0" fontId="12" fillId="16" borderId="27" xfId="0" applyFont="1" applyFill="1" applyBorder="1" applyAlignment="1">
      <alignment horizontal="center" vertical="center"/>
    </xf>
    <xf numFmtId="0" fontId="12" fillId="16" borderId="16" xfId="0" applyFont="1" applyFill="1" applyBorder="1" applyAlignment="1">
      <alignment horizontal="center" vertical="center"/>
    </xf>
    <xf numFmtId="0" fontId="12" fillId="30" borderId="14" xfId="0" applyFont="1" applyFill="1" applyBorder="1" applyAlignment="1">
      <alignment horizontal="center" vertical="center"/>
    </xf>
    <xf numFmtId="0" fontId="12" fillId="31" borderId="14" xfId="0" applyFont="1" applyFill="1" applyBorder="1" applyAlignment="1">
      <alignment horizontal="center" vertical="center"/>
    </xf>
    <xf numFmtId="0" fontId="12" fillId="31" borderId="17" xfId="0" applyFont="1" applyFill="1" applyBorder="1" applyAlignment="1">
      <alignment horizontal="center" vertical="center"/>
    </xf>
    <xf numFmtId="0" fontId="12" fillId="16" borderId="14" xfId="0" applyFont="1" applyFill="1" applyBorder="1" applyAlignment="1">
      <alignment horizontal="center" vertical="center"/>
    </xf>
    <xf numFmtId="0" fontId="12" fillId="16" borderId="20" xfId="0" applyFont="1" applyFill="1" applyBorder="1" applyAlignment="1">
      <alignment horizontal="center" vertical="center"/>
    </xf>
    <xf numFmtId="0" fontId="12" fillId="16" borderId="22" xfId="0" applyFont="1" applyFill="1" applyBorder="1" applyAlignment="1">
      <alignment horizontal="center" vertical="center"/>
    </xf>
    <xf numFmtId="0" fontId="12" fillId="0" borderId="48" xfId="0" applyFont="1" applyBorder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14" fontId="0" fillId="0" borderId="54" xfId="0" applyNumberFormat="1" applyBorder="1" applyAlignment="1">
      <alignment horizontal="center" vertical="center"/>
    </xf>
    <xf numFmtId="14" fontId="0" fillId="0" borderId="35" xfId="0" applyNumberFormat="1" applyBorder="1" applyAlignment="1">
      <alignment horizontal="center" vertical="center"/>
    </xf>
    <xf numFmtId="14" fontId="0" fillId="0" borderId="48" xfId="0" applyNumberFormat="1" applyBorder="1" applyAlignment="1">
      <alignment horizontal="center" vertical="center"/>
    </xf>
    <xf numFmtId="14" fontId="0" fillId="0" borderId="36" xfId="0" applyNumberFormat="1" applyBorder="1" applyAlignment="1">
      <alignment horizontal="center" vertical="center"/>
    </xf>
    <xf numFmtId="41" fontId="2" fillId="0" borderId="54" xfId="1" applyFont="1" applyBorder="1" applyAlignment="1">
      <alignment horizontal="center" vertical="center"/>
    </xf>
    <xf numFmtId="41" fontId="2" fillId="0" borderId="35" xfId="1" applyFont="1" applyBorder="1" applyAlignment="1">
      <alignment horizontal="center" vertical="center"/>
    </xf>
    <xf numFmtId="41" fontId="2" fillId="0" borderId="53" xfId="1" applyFont="1" applyBorder="1" applyAlignment="1">
      <alignment horizontal="center" vertical="center"/>
    </xf>
    <xf numFmtId="41" fontId="2" fillId="0" borderId="56" xfId="1" applyFont="1" applyBorder="1" applyAlignment="1">
      <alignment horizontal="center" vertical="center"/>
    </xf>
    <xf numFmtId="177" fontId="2" fillId="0" borderId="48" xfId="0" applyNumberFormat="1" applyFont="1" applyFill="1" applyBorder="1" applyAlignment="1">
      <alignment horizontal="center" vertical="center"/>
    </xf>
    <xf numFmtId="177" fontId="2" fillId="0" borderId="36" xfId="0" applyNumberFormat="1" applyFont="1" applyFill="1" applyBorder="1" applyAlignment="1">
      <alignment horizontal="center" vertical="center"/>
    </xf>
    <xf numFmtId="0" fontId="39" fillId="0" borderId="54" xfId="0" applyFont="1" applyBorder="1" applyAlignment="1">
      <alignment horizontal="center" vertical="center"/>
    </xf>
    <xf numFmtId="0" fontId="39" fillId="0" borderId="35" xfId="0" applyFont="1" applyBorder="1" applyAlignment="1">
      <alignment horizontal="center" vertical="center"/>
    </xf>
    <xf numFmtId="0" fontId="12" fillId="0" borderId="48" xfId="0" applyFont="1" applyBorder="1" applyAlignment="1">
      <alignment horizontal="center" vertical="center" shrinkToFit="1"/>
    </xf>
    <xf numFmtId="0" fontId="12" fillId="0" borderId="36" xfId="0" applyFont="1" applyBorder="1" applyAlignment="1">
      <alignment horizontal="center" vertical="center" shrinkToFit="1"/>
    </xf>
    <xf numFmtId="41" fontId="2" fillId="0" borderId="43" xfId="1" applyFont="1" applyBorder="1" applyAlignment="1">
      <alignment horizontal="center" vertical="center"/>
    </xf>
    <xf numFmtId="41" fontId="2" fillId="0" borderId="37" xfId="1" applyFont="1" applyBorder="1" applyAlignment="1">
      <alignment horizontal="center" vertical="center"/>
    </xf>
    <xf numFmtId="0" fontId="12" fillId="0" borderId="49" xfId="0" applyFont="1" applyBorder="1" applyAlignment="1">
      <alignment horizontal="center" vertical="center" shrinkToFit="1"/>
    </xf>
    <xf numFmtId="0" fontId="12" fillId="0" borderId="42" xfId="0" applyFont="1" applyBorder="1" applyAlignment="1">
      <alignment horizontal="center" vertical="center" shrinkToFit="1"/>
    </xf>
    <xf numFmtId="0" fontId="12" fillId="0" borderId="44" xfId="0" applyFont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14" fontId="0" fillId="0" borderId="47" xfId="0" applyNumberFormat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14" fontId="0" fillId="0" borderId="44" xfId="0" applyNumberFormat="1" applyBorder="1" applyAlignment="1">
      <alignment horizontal="center" vertical="center"/>
    </xf>
    <xf numFmtId="41" fontId="2" fillId="0" borderId="45" xfId="1" applyFont="1" applyBorder="1" applyAlignment="1">
      <alignment horizontal="center" vertical="center"/>
    </xf>
    <xf numFmtId="41" fontId="2" fillId="0" borderId="39" xfId="1" applyFont="1" applyBorder="1" applyAlignment="1">
      <alignment horizontal="center" vertical="center"/>
    </xf>
    <xf numFmtId="177" fontId="2" fillId="0" borderId="50" xfId="0" applyNumberFormat="1" applyFont="1" applyFill="1" applyBorder="1" applyAlignment="1">
      <alignment horizontal="center" vertical="center"/>
    </xf>
    <xf numFmtId="0" fontId="39" fillId="0" borderId="47" xfId="0" applyFont="1" applyBorder="1" applyAlignment="1">
      <alignment horizontal="center" vertical="center"/>
    </xf>
    <xf numFmtId="0" fontId="39" fillId="0" borderId="41" xfId="0" applyFont="1" applyBorder="1" applyAlignment="1">
      <alignment horizontal="center" vertical="center"/>
    </xf>
    <xf numFmtId="0" fontId="39" fillId="0" borderId="51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 shrinkToFit="1"/>
    </xf>
    <xf numFmtId="0" fontId="38" fillId="0" borderId="47" xfId="0" applyFont="1" applyBorder="1" applyAlignment="1">
      <alignment horizontal="center" vertical="center"/>
    </xf>
    <xf numFmtId="0" fontId="38" fillId="0" borderId="41" xfId="0" applyFont="1" applyBorder="1" applyAlignment="1">
      <alignment horizontal="center" vertical="center"/>
    </xf>
    <xf numFmtId="0" fontId="6" fillId="11" borderId="44" xfId="0" applyFont="1" applyFill="1" applyBorder="1" applyAlignment="1">
      <alignment horizontal="center" vertical="center"/>
    </xf>
    <xf numFmtId="0" fontId="6" fillId="11" borderId="38" xfId="0" applyFont="1" applyFill="1" applyBorder="1" applyAlignment="1">
      <alignment horizontal="center" vertical="center"/>
    </xf>
    <xf numFmtId="14" fontId="3" fillId="11" borderId="47" xfId="0" applyNumberFormat="1" applyFont="1" applyFill="1" applyBorder="1" applyAlignment="1">
      <alignment horizontal="center" vertical="center"/>
    </xf>
    <xf numFmtId="0" fontId="3" fillId="11" borderId="41" xfId="0" applyFont="1" applyFill="1" applyBorder="1" applyAlignment="1">
      <alignment horizontal="center" vertical="center"/>
    </xf>
    <xf numFmtId="14" fontId="6" fillId="11" borderId="44" xfId="0" applyNumberFormat="1" applyFont="1" applyFill="1" applyBorder="1" applyAlignment="1">
      <alignment horizontal="center" vertical="center"/>
    </xf>
    <xf numFmtId="41" fontId="2" fillId="11" borderId="45" xfId="1" applyFont="1" applyFill="1" applyBorder="1" applyAlignment="1">
      <alignment horizontal="center" vertical="center"/>
    </xf>
    <xf numFmtId="41" fontId="2" fillId="11" borderId="39" xfId="1" applyFont="1" applyFill="1" applyBorder="1" applyAlignment="1">
      <alignment horizontal="center" vertical="center"/>
    </xf>
    <xf numFmtId="41" fontId="2" fillId="11" borderId="43" xfId="1" applyFont="1" applyFill="1" applyBorder="1" applyAlignment="1">
      <alignment horizontal="center" vertical="center"/>
    </xf>
    <xf numFmtId="41" fontId="2" fillId="11" borderId="37" xfId="1" applyFont="1" applyFill="1" applyBorder="1" applyAlignment="1">
      <alignment horizontal="center" vertical="center"/>
    </xf>
    <xf numFmtId="0" fontId="39" fillId="11" borderId="47" xfId="0" applyFont="1" applyFill="1" applyBorder="1" applyAlignment="1">
      <alignment horizontal="center" vertical="center"/>
    </xf>
    <xf numFmtId="0" fontId="39" fillId="11" borderId="41" xfId="0" applyFont="1" applyFill="1" applyBorder="1" applyAlignment="1">
      <alignment horizontal="center" vertical="center"/>
    </xf>
    <xf numFmtId="0" fontId="12" fillId="10" borderId="44" xfId="0" applyFont="1" applyFill="1" applyBorder="1" applyAlignment="1">
      <alignment horizontal="center" vertical="center"/>
    </xf>
    <xf numFmtId="0" fontId="0" fillId="10" borderId="38" xfId="0" applyFill="1" applyBorder="1" applyAlignment="1">
      <alignment horizontal="center" vertical="center"/>
    </xf>
    <xf numFmtId="177" fontId="2" fillId="11" borderId="48" xfId="0" applyNumberFormat="1" applyFont="1" applyFill="1" applyBorder="1" applyAlignment="1">
      <alignment horizontal="center" vertical="center"/>
    </xf>
    <xf numFmtId="177" fontId="2" fillId="11" borderId="50" xfId="0" applyNumberFormat="1" applyFont="1" applyFill="1" applyBorder="1" applyAlignment="1">
      <alignment horizontal="center" vertical="center"/>
    </xf>
    <xf numFmtId="14" fontId="6" fillId="11" borderId="47" xfId="0" applyNumberFormat="1" applyFont="1" applyFill="1" applyBorder="1" applyAlignment="1">
      <alignment horizontal="center" vertical="center"/>
    </xf>
    <xf numFmtId="0" fontId="6" fillId="11" borderId="41" xfId="0" applyFont="1" applyFill="1" applyBorder="1" applyAlignment="1">
      <alignment horizontal="center" vertical="center"/>
    </xf>
    <xf numFmtId="0" fontId="12" fillId="10" borderId="48" xfId="0" applyFont="1" applyFill="1" applyBorder="1" applyAlignment="1">
      <alignment horizontal="center" vertical="center"/>
    </xf>
    <xf numFmtId="0" fontId="12" fillId="10" borderId="50" xfId="0" applyFont="1" applyFill="1" applyBorder="1" applyAlignment="1">
      <alignment horizontal="center" vertical="center"/>
    </xf>
    <xf numFmtId="14" fontId="0" fillId="0" borderId="55" xfId="0" applyNumberFormat="1" applyBorder="1" applyAlignment="1">
      <alignment horizontal="center" vertical="center"/>
    </xf>
    <xf numFmtId="14" fontId="0" fillId="0" borderId="50" xfId="0" applyNumberFormat="1" applyBorder="1" applyAlignment="1">
      <alignment horizontal="center" vertical="center"/>
    </xf>
    <xf numFmtId="41" fontId="2" fillId="0" borderId="55" xfId="1" applyFont="1" applyBorder="1" applyAlignment="1">
      <alignment horizontal="center" vertical="center"/>
    </xf>
    <xf numFmtId="0" fontId="39" fillId="0" borderId="55" xfId="0" applyFont="1" applyBorder="1" applyAlignment="1">
      <alignment horizontal="center" vertical="center"/>
    </xf>
    <xf numFmtId="0" fontId="2" fillId="16" borderId="30" xfId="0" applyFont="1" applyFill="1" applyBorder="1" applyAlignment="1">
      <alignment horizontal="center" vertical="center"/>
    </xf>
    <xf numFmtId="0" fontId="2" fillId="16" borderId="14" xfId="0" applyFont="1" applyFill="1" applyBorder="1" applyAlignment="1">
      <alignment horizontal="center" vertical="center"/>
    </xf>
    <xf numFmtId="0" fontId="2" fillId="16" borderId="16" xfId="0" applyFont="1" applyFill="1" applyBorder="1" applyAlignment="1">
      <alignment horizontal="center" vertical="center"/>
    </xf>
    <xf numFmtId="0" fontId="2" fillId="16" borderId="15" xfId="0" applyFont="1" applyFill="1" applyBorder="1" applyAlignment="1">
      <alignment horizontal="center" vertical="center"/>
    </xf>
    <xf numFmtId="0" fontId="2" fillId="16" borderId="38" xfId="0" applyFont="1" applyFill="1" applyBorder="1" applyAlignment="1">
      <alignment horizontal="center" vertical="center"/>
    </xf>
    <xf numFmtId="0" fontId="2" fillId="16" borderId="41" xfId="0" applyFont="1" applyFill="1" applyBorder="1" applyAlignment="1">
      <alignment horizontal="center" vertical="center"/>
    </xf>
    <xf numFmtId="0" fontId="2" fillId="16" borderId="28" xfId="0" applyFont="1" applyFill="1" applyBorder="1" applyAlignment="1">
      <alignment horizontal="center" vertical="center"/>
    </xf>
    <xf numFmtId="0" fontId="2" fillId="16" borderId="27" xfId="0" applyFont="1" applyFill="1" applyBorder="1" applyAlignment="1">
      <alignment horizontal="center" vertical="center"/>
    </xf>
    <xf numFmtId="0" fontId="2" fillId="16" borderId="29" xfId="0" applyFont="1" applyFill="1" applyBorder="1" applyAlignment="1">
      <alignment horizontal="center" vertical="center"/>
    </xf>
    <xf numFmtId="0" fontId="2" fillId="16" borderId="20" xfId="0" applyFont="1" applyFill="1" applyBorder="1" applyAlignment="1">
      <alignment horizontal="center" vertical="center"/>
    </xf>
    <xf numFmtId="0" fontId="2" fillId="16" borderId="42" xfId="0" applyFont="1" applyFill="1" applyBorder="1" applyAlignment="1">
      <alignment horizontal="center" vertical="center"/>
    </xf>
    <xf numFmtId="0" fontId="6" fillId="11" borderId="49" xfId="0" applyFont="1" applyFill="1" applyBorder="1" applyAlignment="1">
      <alignment horizontal="center" vertical="center" wrapText="1" shrinkToFit="1"/>
    </xf>
    <xf numFmtId="0" fontId="6" fillId="11" borderId="42" xfId="0" applyFont="1" applyFill="1" applyBorder="1" applyAlignment="1">
      <alignment horizontal="center" vertical="center" shrinkToFit="1"/>
    </xf>
    <xf numFmtId="0" fontId="6" fillId="23" borderId="49" xfId="0" applyFont="1" applyFill="1" applyBorder="1" applyAlignment="1">
      <alignment horizontal="center" vertical="center" wrapText="1" shrinkToFit="1"/>
    </xf>
    <xf numFmtId="0" fontId="6" fillId="23" borderId="42" xfId="0" applyFont="1" applyFill="1" applyBorder="1" applyAlignment="1">
      <alignment horizontal="center" vertical="center" shrinkToFit="1"/>
    </xf>
    <xf numFmtId="0" fontId="12" fillId="0" borderId="50" xfId="0" applyFont="1" applyBorder="1" applyAlignment="1">
      <alignment horizontal="center" vertical="center" shrinkToFit="1"/>
    </xf>
    <xf numFmtId="14" fontId="12" fillId="23" borderId="49" xfId="0" quotePrefix="1" applyNumberFormat="1" applyFont="1" applyFill="1" applyBorder="1" applyAlignment="1">
      <alignment horizontal="center" vertical="center" wrapText="1" shrinkToFit="1"/>
    </xf>
    <xf numFmtId="0" fontId="12" fillId="23" borderId="42" xfId="0" applyFont="1" applyFill="1" applyBorder="1" applyAlignment="1">
      <alignment horizontal="center" vertical="center" shrinkToFit="1"/>
    </xf>
    <xf numFmtId="14" fontId="12" fillId="23" borderId="48" xfId="0" quotePrefix="1" applyNumberFormat="1" applyFont="1" applyFill="1" applyBorder="1" applyAlignment="1">
      <alignment horizontal="center" vertical="center" wrapText="1" shrinkToFit="1"/>
    </xf>
    <xf numFmtId="0" fontId="12" fillId="23" borderId="50" xfId="0" quotePrefix="1" applyFont="1" applyFill="1" applyBorder="1" applyAlignment="1">
      <alignment horizontal="center" vertical="center" wrapText="1" shrinkToFit="1"/>
    </xf>
    <xf numFmtId="0" fontId="12" fillId="23" borderId="49" xfId="0" quotePrefix="1" applyFont="1" applyFill="1" applyBorder="1" applyAlignment="1">
      <alignment horizontal="center" vertical="center" wrapText="1" shrinkToFit="1"/>
    </xf>
    <xf numFmtId="0" fontId="0" fillId="0" borderId="50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2" fillId="13" borderId="31" xfId="0" applyFont="1" applyFill="1" applyBorder="1" applyAlignment="1">
      <alignment horizontal="center" vertical="center"/>
    </xf>
    <xf numFmtId="184" fontId="2" fillId="13" borderId="21" xfId="0" applyNumberFormat="1" applyFont="1" applyFill="1" applyBorder="1" applyAlignment="1">
      <alignment horizontal="center" vertical="center"/>
    </xf>
    <xf numFmtId="184" fontId="2" fillId="13" borderId="25" xfId="0" applyNumberFormat="1" applyFont="1" applyFill="1" applyBorder="1" applyAlignment="1">
      <alignment horizontal="center" vertical="center"/>
    </xf>
    <xf numFmtId="41" fontId="2" fillId="13" borderId="33" xfId="1" applyFont="1" applyFill="1" applyBorder="1" applyAlignment="1">
      <alignment horizontal="center" vertical="center"/>
    </xf>
    <xf numFmtId="41" fontId="2" fillId="13" borderId="35" xfId="1" applyFont="1" applyFill="1" applyBorder="1" applyAlignment="1">
      <alignment horizontal="center" vertical="center"/>
    </xf>
    <xf numFmtId="41" fontId="2" fillId="13" borderId="32" xfId="0" applyNumberFormat="1" applyFont="1" applyFill="1" applyBorder="1" applyAlignment="1">
      <alignment horizontal="center" vertical="center"/>
    </xf>
    <xf numFmtId="0" fontId="2" fillId="13" borderId="36" xfId="0" applyFont="1" applyFill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14" fontId="0" fillId="0" borderId="51" xfId="0" applyNumberFormat="1" applyBorder="1" applyAlignment="1">
      <alignment horizontal="center" vertical="center"/>
    </xf>
    <xf numFmtId="14" fontId="0" fillId="0" borderId="34" xfId="0" applyNumberFormat="1" applyBorder="1" applyAlignment="1">
      <alignment horizontal="center" vertical="center"/>
    </xf>
    <xf numFmtId="41" fontId="2" fillId="0" borderId="51" xfId="1" applyFont="1" applyBorder="1" applyAlignment="1">
      <alignment horizontal="center" vertical="center"/>
    </xf>
    <xf numFmtId="177" fontId="2" fillId="0" borderId="34" xfId="0" applyNumberFormat="1" applyFont="1" applyFill="1" applyBorder="1" applyAlignment="1">
      <alignment horizontal="center" vertical="center"/>
    </xf>
    <xf numFmtId="14" fontId="2" fillId="23" borderId="49" xfId="0" applyNumberFormat="1" applyFont="1" applyFill="1" applyBorder="1" applyAlignment="1">
      <alignment horizontal="center" vertical="center" wrapText="1" shrinkToFit="1"/>
    </xf>
    <xf numFmtId="0" fontId="2" fillId="23" borderId="42" xfId="0" applyFont="1" applyFill="1" applyBorder="1" applyAlignment="1">
      <alignment horizontal="center" vertical="center" wrapText="1" shrinkToFit="1"/>
    </xf>
    <xf numFmtId="49" fontId="2" fillId="17" borderId="7" xfId="0" applyNumberFormat="1" applyFont="1" applyFill="1" applyBorder="1" applyAlignment="1">
      <alignment horizontal="center" vertical="center"/>
    </xf>
    <xf numFmtId="0" fontId="3" fillId="18" borderId="8" xfId="0" applyFont="1" applyFill="1" applyBorder="1" applyAlignment="1">
      <alignment vertical="center"/>
    </xf>
    <xf numFmtId="49" fontId="2" fillId="2" borderId="2" xfId="0" applyNumberFormat="1" applyFont="1" applyFill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49" fontId="2" fillId="2" borderId="7" xfId="0" applyNumberFormat="1" applyFont="1" applyFill="1" applyBorder="1" applyAlignment="1">
      <alignment horizontal="center" vertical="center"/>
    </xf>
    <xf numFmtId="0" fontId="3" fillId="0" borderId="8" xfId="0" applyFont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4" fillId="0" borderId="0" xfId="0" applyFont="1" applyAlignment="1">
      <alignment vertical="center"/>
    </xf>
    <xf numFmtId="0" fontId="44" fillId="0" borderId="14" xfId="0" applyFont="1" applyBorder="1" applyAlignment="1">
      <alignment horizontal="center" vertical="center"/>
    </xf>
    <xf numFmtId="0" fontId="47" fillId="16" borderId="14" xfId="0" applyFont="1" applyFill="1" applyBorder="1" applyAlignment="1">
      <alignment horizontal="center" vertical="center"/>
    </xf>
    <xf numFmtId="0" fontId="44" fillId="16" borderId="14" xfId="0" applyFont="1" applyFill="1" applyBorder="1" applyAlignment="1">
      <alignment horizontal="center" vertical="center"/>
    </xf>
    <xf numFmtId="0" fontId="44" fillId="0" borderId="27" xfId="0" applyFont="1" applyBorder="1" applyAlignment="1">
      <alignment horizontal="left" vertical="center"/>
    </xf>
    <xf numFmtId="0" fontId="44" fillId="0" borderId="16" xfId="0" applyFont="1" applyBorder="1" applyAlignment="1">
      <alignment horizontal="left" vertical="center"/>
    </xf>
    <xf numFmtId="0" fontId="44" fillId="0" borderId="27" xfId="0" applyFont="1" applyBorder="1" applyAlignment="1">
      <alignment horizontal="center" vertical="center"/>
    </xf>
    <xf numFmtId="0" fontId="47" fillId="16" borderId="17" xfId="0" applyFont="1" applyFill="1" applyBorder="1" applyAlignment="1">
      <alignment horizontal="center" vertical="center"/>
    </xf>
    <xf numFmtId="0" fontId="47" fillId="16" borderId="15" xfId="0" applyFont="1" applyFill="1" applyBorder="1" applyAlignment="1">
      <alignment horizontal="center" vertical="center"/>
    </xf>
    <xf numFmtId="0" fontId="47" fillId="16" borderId="27" xfId="0" applyFont="1" applyFill="1" applyBorder="1" applyAlignment="1">
      <alignment horizontal="center" vertical="center"/>
    </xf>
    <xf numFmtId="0" fontId="47" fillId="16" borderId="16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76" fontId="2" fillId="16" borderId="14" xfId="0" applyNumberFormat="1" applyFont="1" applyFill="1" applyBorder="1" applyAlignment="1">
      <alignment horizontal="center" vertical="center"/>
    </xf>
    <xf numFmtId="41" fontId="44" fillId="0" borderId="14" xfId="1" applyFont="1" applyBorder="1" applyAlignment="1">
      <alignment horizontal="center" vertical="center"/>
    </xf>
    <xf numFmtId="186" fontId="49" fillId="0" borderId="14" xfId="1" applyNumberFormat="1" applyFont="1" applyBorder="1" applyAlignment="1">
      <alignment horizontal="center" vertical="center"/>
    </xf>
    <xf numFmtId="185" fontId="48" fillId="0" borderId="14" xfId="1" applyNumberFormat="1" applyFont="1" applyBorder="1" applyAlignment="1">
      <alignment horizontal="center" vertical="center"/>
    </xf>
    <xf numFmtId="41" fontId="2" fillId="0" borderId="14" xfId="1" applyFont="1" applyBorder="1" applyAlignment="1">
      <alignment horizontal="center" vertical="center"/>
    </xf>
    <xf numFmtId="41" fontId="12" fillId="0" borderId="14" xfId="1" applyFont="1" applyBorder="1" applyAlignment="1">
      <alignment horizontal="center" vertical="center"/>
    </xf>
    <xf numFmtId="41" fontId="0" fillId="0" borderId="14" xfId="1" applyFont="1" applyBorder="1" applyAlignment="1">
      <alignment horizontal="center" vertical="center"/>
    </xf>
    <xf numFmtId="0" fontId="12" fillId="23" borderId="14" xfId="0" applyFont="1" applyFill="1" applyBorder="1" applyAlignment="1">
      <alignment horizontal="center" vertical="center"/>
    </xf>
    <xf numFmtId="0" fontId="0" fillId="23" borderId="14" xfId="0" applyFill="1" applyBorder="1" applyAlignment="1">
      <alignment horizontal="center" vertical="center"/>
    </xf>
    <xf numFmtId="41" fontId="2" fillId="23" borderId="14" xfId="1" applyFont="1" applyFill="1" applyBorder="1" applyAlignment="1">
      <alignment horizontal="center" vertical="center"/>
    </xf>
    <xf numFmtId="41" fontId="12" fillId="23" borderId="14" xfId="1" applyFont="1" applyFill="1" applyBorder="1" applyAlignment="1">
      <alignment horizontal="center" vertical="center"/>
    </xf>
    <xf numFmtId="41" fontId="0" fillId="23" borderId="14" xfId="1" applyFont="1" applyFill="1" applyBorder="1" applyAlignment="1">
      <alignment horizontal="center" vertical="center"/>
    </xf>
    <xf numFmtId="0" fontId="12" fillId="0" borderId="58" xfId="0" applyFont="1" applyBorder="1" applyAlignment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61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ont>
        <color auto="1"/>
      </font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ont>
        <color auto="1"/>
      </font>
    </dxf>
    <dxf>
      <font>
        <color auto="1"/>
      </font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ont>
        <color auto="1"/>
      </font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ont>
        <color auto="1"/>
      </font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ont>
        <color auto="1"/>
      </font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ont>
        <color auto="1"/>
      </font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ont>
        <color auto="1"/>
      </font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ont>
        <color auto="1"/>
      </font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130089</xdr:colOff>
      <xdr:row>35</xdr:row>
      <xdr:rowOff>17766</xdr:rowOff>
    </xdr:from>
    <xdr:to>
      <xdr:col>24</xdr:col>
      <xdr:colOff>282763</xdr:colOff>
      <xdr:row>41</xdr:row>
      <xdr:rowOff>224346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9FF"/>
            </a:clrFrom>
            <a:clrTo>
              <a:srgbClr val="FFF9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80180" y1="16075" x2="15541" y2="24299"/>
                      <a14:foregroundMark x1="15541" y1="24299" x2="25676" y2="76636"/>
                      <a14:foregroundMark x1="25676" y1="76636" x2="89189" y2="70467"/>
                      <a14:foregroundMark x1="81982" y1="16075" x2="89414" y2="70280"/>
                      <a14:backgroundMark x1="44144" y1="12336" x2="44144" y2="12336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700706">
          <a:off x="6132461" y="10369819"/>
          <a:ext cx="1749630" cy="2095774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182217</xdr:colOff>
      <xdr:row>23</xdr:row>
      <xdr:rowOff>190499</xdr:rowOff>
    </xdr:from>
    <xdr:to>
      <xdr:col>21</xdr:col>
      <xdr:colOff>157369</xdr:colOff>
      <xdr:row>24</xdr:row>
      <xdr:rowOff>107673</xdr:rowOff>
    </xdr:to>
    <xdr:sp macro="" textlink="">
      <xdr:nvSpPr>
        <xdr:cNvPr id="4" name="이등변 삼각형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 rot="10800000">
          <a:off x="1474304" y="3710608"/>
          <a:ext cx="5466522" cy="173935"/>
        </a:xfrm>
        <a:prstGeom prst="triangle">
          <a:avLst/>
        </a:prstGeom>
        <a:solidFill>
          <a:srgbClr val="00206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</xdr:col>
      <xdr:colOff>38100</xdr:colOff>
      <xdr:row>0</xdr:row>
      <xdr:rowOff>180975</xdr:rowOff>
    </xdr:from>
    <xdr:to>
      <xdr:col>10</xdr:col>
      <xdr:colOff>214390</xdr:colOff>
      <xdr:row>3</xdr:row>
      <xdr:rowOff>82723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" y="180975"/>
          <a:ext cx="3090940" cy="530398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68037</xdr:colOff>
      <xdr:row>0</xdr:row>
      <xdr:rowOff>68034</xdr:rowOff>
    </xdr:from>
    <xdr:to>
      <xdr:col>1</xdr:col>
      <xdr:colOff>310244</xdr:colOff>
      <xdr:row>1</xdr:row>
      <xdr:rowOff>119742</xdr:rowOff>
    </xdr:to>
    <xdr:sp macro="[0]!급여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4CF3A022-777E-4DF1-AEA5-2CA41A01523E}"/>
            </a:ext>
          </a:extLst>
        </xdr:cNvPr>
        <xdr:cNvSpPr/>
      </xdr:nvSpPr>
      <xdr:spPr>
        <a:xfrm>
          <a:off x="68037" y="68034"/>
          <a:ext cx="670832" cy="26125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급여</a:t>
          </a:r>
        </a:p>
      </xdr:txBody>
    </xdr:sp>
    <xdr:clientData/>
  </xdr:twoCellAnchor>
  <xdr:twoCellAnchor>
    <xdr:from>
      <xdr:col>1</xdr:col>
      <xdr:colOff>383722</xdr:colOff>
      <xdr:row>0</xdr:row>
      <xdr:rowOff>70755</xdr:rowOff>
    </xdr:from>
    <xdr:to>
      <xdr:col>1</xdr:col>
      <xdr:colOff>1347108</xdr:colOff>
      <xdr:row>1</xdr:row>
      <xdr:rowOff>122463</xdr:rowOff>
    </xdr:to>
    <xdr:sp macro="[0]!세금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7E07C631-98AB-4F8A-9273-79B0B3EBC822}"/>
            </a:ext>
          </a:extLst>
        </xdr:cNvPr>
        <xdr:cNvSpPr/>
      </xdr:nvSpPr>
      <xdr:spPr>
        <a:xfrm>
          <a:off x="812347" y="70755"/>
          <a:ext cx="963386" cy="261258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세금</a:t>
          </a:r>
        </a:p>
      </xdr:txBody>
    </xdr:sp>
    <xdr:clientData/>
  </xdr:twoCellAnchor>
  <xdr:twoCellAnchor>
    <xdr:from>
      <xdr:col>0</xdr:col>
      <xdr:colOff>73479</xdr:colOff>
      <xdr:row>1</xdr:row>
      <xdr:rowOff>168727</xdr:rowOff>
    </xdr:from>
    <xdr:to>
      <xdr:col>1</xdr:col>
      <xdr:colOff>1333499</xdr:colOff>
      <xdr:row>2</xdr:row>
      <xdr:rowOff>176893</xdr:rowOff>
    </xdr:to>
    <xdr:sp macro="[0]!Spread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E6B8FD76-2545-475D-83AC-7206EF1708F9}"/>
            </a:ext>
          </a:extLst>
        </xdr:cNvPr>
        <xdr:cNvSpPr/>
      </xdr:nvSpPr>
      <xdr:spPr>
        <a:xfrm>
          <a:off x="73479" y="378277"/>
          <a:ext cx="1688645" cy="217716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Spread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68037</xdr:colOff>
      <xdr:row>0</xdr:row>
      <xdr:rowOff>68034</xdr:rowOff>
    </xdr:from>
    <xdr:to>
      <xdr:col>1</xdr:col>
      <xdr:colOff>310244</xdr:colOff>
      <xdr:row>1</xdr:row>
      <xdr:rowOff>119742</xdr:rowOff>
    </xdr:to>
    <xdr:sp macro="[0]!급여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9DF08E4A-5D3F-459E-B52C-6FAB00AF1F09}"/>
            </a:ext>
          </a:extLst>
        </xdr:cNvPr>
        <xdr:cNvSpPr/>
      </xdr:nvSpPr>
      <xdr:spPr>
        <a:xfrm>
          <a:off x="68037" y="68034"/>
          <a:ext cx="963386" cy="255815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급여</a:t>
          </a:r>
        </a:p>
      </xdr:txBody>
    </xdr:sp>
    <xdr:clientData/>
  </xdr:twoCellAnchor>
  <xdr:twoCellAnchor>
    <xdr:from>
      <xdr:col>1</xdr:col>
      <xdr:colOff>383722</xdr:colOff>
      <xdr:row>0</xdr:row>
      <xdr:rowOff>70755</xdr:rowOff>
    </xdr:from>
    <xdr:to>
      <xdr:col>1</xdr:col>
      <xdr:colOff>1347108</xdr:colOff>
      <xdr:row>1</xdr:row>
      <xdr:rowOff>122463</xdr:rowOff>
    </xdr:to>
    <xdr:sp macro="[0]!세금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1D021AE6-12C7-44DF-85B7-73D0217BBE1D}"/>
            </a:ext>
          </a:extLst>
        </xdr:cNvPr>
        <xdr:cNvSpPr/>
      </xdr:nvSpPr>
      <xdr:spPr>
        <a:xfrm>
          <a:off x="1104901" y="70755"/>
          <a:ext cx="963386" cy="255815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세금</a:t>
          </a:r>
        </a:p>
      </xdr:txBody>
    </xdr:sp>
    <xdr:clientData/>
  </xdr:twoCellAnchor>
  <xdr:twoCellAnchor>
    <xdr:from>
      <xdr:col>0</xdr:col>
      <xdr:colOff>73479</xdr:colOff>
      <xdr:row>1</xdr:row>
      <xdr:rowOff>168727</xdr:rowOff>
    </xdr:from>
    <xdr:to>
      <xdr:col>1</xdr:col>
      <xdr:colOff>1333499</xdr:colOff>
      <xdr:row>2</xdr:row>
      <xdr:rowOff>176893</xdr:rowOff>
    </xdr:to>
    <xdr:sp macro="[0]!Spread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1CFADF5B-66E4-4293-861E-031CADE3B93E}"/>
            </a:ext>
          </a:extLst>
        </xdr:cNvPr>
        <xdr:cNvSpPr/>
      </xdr:nvSpPr>
      <xdr:spPr>
        <a:xfrm>
          <a:off x="73479" y="372834"/>
          <a:ext cx="1981199" cy="212273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Spread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22860</xdr:colOff>
      <xdr:row>20</xdr:row>
      <xdr:rowOff>83820</xdr:rowOff>
    </xdr:to>
    <xdr:sp macro="" textlink="">
      <xdr:nvSpPr>
        <xdr:cNvPr id="1026" name="Rectangle 2" hidden="1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7620000" cy="76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22860</xdr:colOff>
      <xdr:row>20</xdr:row>
      <xdr:rowOff>83820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5" name="AutoShape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6" name="Auto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7" name="AutoShape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2" name="AutoShape 2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3" name="AutoShape 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4" name="AutoShape 2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5" name="AutoShape 2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6" name="AutoShape 2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7" name="AutoShape 2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8" name="Auto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9" name="AutoShape 2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20" name="Auto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21" name="AutoShape 2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22" name="Auto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23" name="AutoShape 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24" name="Auto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25" name="AutoShape 2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26" name="AutoShape 2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27" name="AutoShape 2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28" name="AutoShape 2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29" name="AutoShape 2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30" name="AutoShape 2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31" name="AutoShape 2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24" name="AutoShape 2">
          <a:extLst>
            <a:ext uri="{FF2B5EF4-FFF2-40B4-BE49-F238E27FC236}">
              <a16:creationId xmlns:a16="http://schemas.microsoft.com/office/drawing/2014/main" id="{00000000-0008-0000-0300-000000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25" name="AutoShape 2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27" name="AutoShape 2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28" name="AutoShape 2">
          <a:extLst>
            <a:ext uri="{FF2B5EF4-FFF2-40B4-BE49-F238E27FC236}">
              <a16:creationId xmlns:a16="http://schemas.microsoft.com/office/drawing/2014/main" id="{00000000-0008-0000-0300-000004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29" name="AutoShape 2">
          <a:extLst>
            <a:ext uri="{FF2B5EF4-FFF2-40B4-BE49-F238E27FC236}">
              <a16:creationId xmlns:a16="http://schemas.microsoft.com/office/drawing/2014/main" id="{00000000-0008-0000-0300-000005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30" name="AutoShape 2">
          <a:extLst>
            <a:ext uri="{FF2B5EF4-FFF2-40B4-BE49-F238E27FC236}">
              <a16:creationId xmlns:a16="http://schemas.microsoft.com/office/drawing/2014/main" id="{00000000-0008-0000-0300-000006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31" name="AutoShape 2">
          <a:extLst>
            <a:ext uri="{FF2B5EF4-FFF2-40B4-BE49-F238E27FC236}">
              <a16:creationId xmlns:a16="http://schemas.microsoft.com/office/drawing/2014/main" id="{00000000-0008-0000-0300-000007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32" name="AutoShape 2">
          <a:extLst>
            <a:ext uri="{FF2B5EF4-FFF2-40B4-BE49-F238E27FC236}">
              <a16:creationId xmlns:a16="http://schemas.microsoft.com/office/drawing/2014/main" id="{00000000-0008-0000-0300-000008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33" name="AutoShape 2">
          <a:extLst>
            <a:ext uri="{FF2B5EF4-FFF2-40B4-BE49-F238E27FC236}">
              <a16:creationId xmlns:a16="http://schemas.microsoft.com/office/drawing/2014/main" id="{00000000-0008-0000-0300-000009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34" name="AutoShape 2">
          <a:extLst>
            <a:ext uri="{FF2B5EF4-FFF2-40B4-BE49-F238E27FC236}">
              <a16:creationId xmlns:a16="http://schemas.microsoft.com/office/drawing/2014/main" id="{00000000-0008-0000-0300-00000A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35" name="AutoShape 2">
          <a:extLst>
            <a:ext uri="{FF2B5EF4-FFF2-40B4-BE49-F238E27FC236}">
              <a16:creationId xmlns:a16="http://schemas.microsoft.com/office/drawing/2014/main" id="{00000000-0008-0000-0300-00000B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36" name="AutoShape 2">
          <a:extLst>
            <a:ext uri="{FF2B5EF4-FFF2-40B4-BE49-F238E27FC236}">
              <a16:creationId xmlns:a16="http://schemas.microsoft.com/office/drawing/2014/main" id="{00000000-0008-0000-0300-00000C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37" name="AutoShape 2">
          <a:extLst>
            <a:ext uri="{FF2B5EF4-FFF2-40B4-BE49-F238E27FC236}">
              <a16:creationId xmlns:a16="http://schemas.microsoft.com/office/drawing/2014/main" id="{00000000-0008-0000-0300-00000D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38" name="AutoShape 2">
          <a:extLst>
            <a:ext uri="{FF2B5EF4-FFF2-40B4-BE49-F238E27FC236}">
              <a16:creationId xmlns:a16="http://schemas.microsoft.com/office/drawing/2014/main" id="{00000000-0008-0000-0300-00000E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39" name="AutoShape 2">
          <a:extLst>
            <a:ext uri="{FF2B5EF4-FFF2-40B4-BE49-F238E27FC236}">
              <a16:creationId xmlns:a16="http://schemas.microsoft.com/office/drawing/2014/main" id="{00000000-0008-0000-0300-00000F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40" name="AutoShape 2">
          <a:extLst>
            <a:ext uri="{FF2B5EF4-FFF2-40B4-BE49-F238E27FC236}">
              <a16:creationId xmlns:a16="http://schemas.microsoft.com/office/drawing/2014/main" id="{00000000-0008-0000-0300-000010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41" name="AutoShape 2">
          <a:extLst>
            <a:ext uri="{FF2B5EF4-FFF2-40B4-BE49-F238E27FC236}">
              <a16:creationId xmlns:a16="http://schemas.microsoft.com/office/drawing/2014/main" id="{00000000-0008-0000-0300-000011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42" name="AutoShape 2">
          <a:extLst>
            <a:ext uri="{FF2B5EF4-FFF2-40B4-BE49-F238E27FC236}">
              <a16:creationId xmlns:a16="http://schemas.microsoft.com/office/drawing/2014/main" id="{00000000-0008-0000-0300-000012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43" name="AutoShape 2">
          <a:extLst>
            <a:ext uri="{FF2B5EF4-FFF2-40B4-BE49-F238E27FC236}">
              <a16:creationId xmlns:a16="http://schemas.microsoft.com/office/drawing/2014/main" id="{00000000-0008-0000-0300-000013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44" name="AutoShape 2">
          <a:extLst>
            <a:ext uri="{FF2B5EF4-FFF2-40B4-BE49-F238E27FC236}">
              <a16:creationId xmlns:a16="http://schemas.microsoft.com/office/drawing/2014/main" id="{00000000-0008-0000-0300-000014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45" name="AutoShape 2">
          <a:extLst>
            <a:ext uri="{FF2B5EF4-FFF2-40B4-BE49-F238E27FC236}">
              <a16:creationId xmlns:a16="http://schemas.microsoft.com/office/drawing/2014/main" id="{00000000-0008-0000-0300-000015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46" name="AutoShape 2">
          <a:extLst>
            <a:ext uri="{FF2B5EF4-FFF2-40B4-BE49-F238E27FC236}">
              <a16:creationId xmlns:a16="http://schemas.microsoft.com/office/drawing/2014/main" id="{00000000-0008-0000-0300-000016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47" name="AutoShape 2">
          <a:extLst>
            <a:ext uri="{FF2B5EF4-FFF2-40B4-BE49-F238E27FC236}">
              <a16:creationId xmlns:a16="http://schemas.microsoft.com/office/drawing/2014/main" id="{00000000-0008-0000-0300-000017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48" name="AutoShape 2">
          <a:extLst>
            <a:ext uri="{FF2B5EF4-FFF2-40B4-BE49-F238E27FC236}">
              <a16:creationId xmlns:a16="http://schemas.microsoft.com/office/drawing/2014/main" id="{00000000-0008-0000-0300-000018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49" name="AutoShape 2">
          <a:extLst>
            <a:ext uri="{FF2B5EF4-FFF2-40B4-BE49-F238E27FC236}">
              <a16:creationId xmlns:a16="http://schemas.microsoft.com/office/drawing/2014/main" id="{00000000-0008-0000-0300-000019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50" name="AutoShape 2">
          <a:extLst>
            <a:ext uri="{FF2B5EF4-FFF2-40B4-BE49-F238E27FC236}">
              <a16:creationId xmlns:a16="http://schemas.microsoft.com/office/drawing/2014/main" id="{00000000-0008-0000-0300-00001A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51" name="AutoShape 2">
          <a:extLst>
            <a:ext uri="{FF2B5EF4-FFF2-40B4-BE49-F238E27FC236}">
              <a16:creationId xmlns:a16="http://schemas.microsoft.com/office/drawing/2014/main" id="{00000000-0008-0000-0300-00001B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52" name="AutoShape 2">
          <a:extLst>
            <a:ext uri="{FF2B5EF4-FFF2-40B4-BE49-F238E27FC236}">
              <a16:creationId xmlns:a16="http://schemas.microsoft.com/office/drawing/2014/main" id="{00000000-0008-0000-0300-00001C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53" name="AutoShape 2">
          <a:extLst>
            <a:ext uri="{FF2B5EF4-FFF2-40B4-BE49-F238E27FC236}">
              <a16:creationId xmlns:a16="http://schemas.microsoft.com/office/drawing/2014/main" id="{00000000-0008-0000-0300-00001D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54" name="AutoShape 2">
          <a:extLst>
            <a:ext uri="{FF2B5EF4-FFF2-40B4-BE49-F238E27FC236}">
              <a16:creationId xmlns:a16="http://schemas.microsoft.com/office/drawing/2014/main" id="{00000000-0008-0000-0300-00001E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55" name="AutoShape 2">
          <a:extLst>
            <a:ext uri="{FF2B5EF4-FFF2-40B4-BE49-F238E27FC236}">
              <a16:creationId xmlns:a16="http://schemas.microsoft.com/office/drawing/2014/main" id="{00000000-0008-0000-0300-00001F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56" name="AutoShape 2">
          <a:extLst>
            <a:ext uri="{FF2B5EF4-FFF2-40B4-BE49-F238E27FC236}">
              <a16:creationId xmlns:a16="http://schemas.microsoft.com/office/drawing/2014/main" id="{00000000-0008-0000-0300-000020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57" name="AutoShape 2">
          <a:extLst>
            <a:ext uri="{FF2B5EF4-FFF2-40B4-BE49-F238E27FC236}">
              <a16:creationId xmlns:a16="http://schemas.microsoft.com/office/drawing/2014/main" id="{00000000-0008-0000-0300-000021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58" name="AutoShape 2">
          <a:extLst>
            <a:ext uri="{FF2B5EF4-FFF2-40B4-BE49-F238E27FC236}">
              <a16:creationId xmlns:a16="http://schemas.microsoft.com/office/drawing/2014/main" id="{00000000-0008-0000-0300-000022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59" name="AutoShape 2">
          <a:extLst>
            <a:ext uri="{FF2B5EF4-FFF2-40B4-BE49-F238E27FC236}">
              <a16:creationId xmlns:a16="http://schemas.microsoft.com/office/drawing/2014/main" id="{00000000-0008-0000-0300-000023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60" name="AutoShape 2">
          <a:extLst>
            <a:ext uri="{FF2B5EF4-FFF2-40B4-BE49-F238E27FC236}">
              <a16:creationId xmlns:a16="http://schemas.microsoft.com/office/drawing/2014/main" id="{00000000-0008-0000-0300-000024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61" name="AutoShape 2">
          <a:extLst>
            <a:ext uri="{FF2B5EF4-FFF2-40B4-BE49-F238E27FC236}">
              <a16:creationId xmlns:a16="http://schemas.microsoft.com/office/drawing/2014/main" id="{00000000-0008-0000-0300-000025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62" name="AutoShape 2">
          <a:extLst>
            <a:ext uri="{FF2B5EF4-FFF2-40B4-BE49-F238E27FC236}">
              <a16:creationId xmlns:a16="http://schemas.microsoft.com/office/drawing/2014/main" id="{00000000-0008-0000-0300-000026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63" name="AutoShape 2">
          <a:extLst>
            <a:ext uri="{FF2B5EF4-FFF2-40B4-BE49-F238E27FC236}">
              <a16:creationId xmlns:a16="http://schemas.microsoft.com/office/drawing/2014/main" id="{00000000-0008-0000-0300-000027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64" name="AutoShape 2">
          <a:extLst>
            <a:ext uri="{FF2B5EF4-FFF2-40B4-BE49-F238E27FC236}">
              <a16:creationId xmlns:a16="http://schemas.microsoft.com/office/drawing/2014/main" id="{00000000-0008-0000-0300-000028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65" name="AutoShape 2">
          <a:extLst>
            <a:ext uri="{FF2B5EF4-FFF2-40B4-BE49-F238E27FC236}">
              <a16:creationId xmlns:a16="http://schemas.microsoft.com/office/drawing/2014/main" id="{00000000-0008-0000-0300-000029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66" name="AutoShape 2">
          <a:extLst>
            <a:ext uri="{FF2B5EF4-FFF2-40B4-BE49-F238E27FC236}">
              <a16:creationId xmlns:a16="http://schemas.microsoft.com/office/drawing/2014/main" id="{00000000-0008-0000-0300-00002A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67" name="AutoShape 2">
          <a:extLst>
            <a:ext uri="{FF2B5EF4-FFF2-40B4-BE49-F238E27FC236}">
              <a16:creationId xmlns:a16="http://schemas.microsoft.com/office/drawing/2014/main" id="{00000000-0008-0000-0300-00002B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68" name="AutoShape 2">
          <a:extLst>
            <a:ext uri="{FF2B5EF4-FFF2-40B4-BE49-F238E27FC236}">
              <a16:creationId xmlns:a16="http://schemas.microsoft.com/office/drawing/2014/main" id="{00000000-0008-0000-0300-00002C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69" name="AutoShape 2">
          <a:extLst>
            <a:ext uri="{FF2B5EF4-FFF2-40B4-BE49-F238E27FC236}">
              <a16:creationId xmlns:a16="http://schemas.microsoft.com/office/drawing/2014/main" id="{00000000-0008-0000-0300-00002D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70" name="AutoShape 2">
          <a:extLst>
            <a:ext uri="{FF2B5EF4-FFF2-40B4-BE49-F238E27FC236}">
              <a16:creationId xmlns:a16="http://schemas.microsoft.com/office/drawing/2014/main" id="{00000000-0008-0000-0300-00002E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71" name="AutoShape 2">
          <a:extLst>
            <a:ext uri="{FF2B5EF4-FFF2-40B4-BE49-F238E27FC236}">
              <a16:creationId xmlns:a16="http://schemas.microsoft.com/office/drawing/2014/main" id="{00000000-0008-0000-0300-00002F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72" name="AutoShape 2">
          <a:extLst>
            <a:ext uri="{FF2B5EF4-FFF2-40B4-BE49-F238E27FC236}">
              <a16:creationId xmlns:a16="http://schemas.microsoft.com/office/drawing/2014/main" id="{00000000-0008-0000-0300-000030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73" name="AutoShape 2">
          <a:extLst>
            <a:ext uri="{FF2B5EF4-FFF2-40B4-BE49-F238E27FC236}">
              <a16:creationId xmlns:a16="http://schemas.microsoft.com/office/drawing/2014/main" id="{00000000-0008-0000-0300-000031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74" name="AutoShape 2">
          <a:extLst>
            <a:ext uri="{FF2B5EF4-FFF2-40B4-BE49-F238E27FC236}">
              <a16:creationId xmlns:a16="http://schemas.microsoft.com/office/drawing/2014/main" id="{00000000-0008-0000-0300-000032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75" name="AutoShape 2">
          <a:extLst>
            <a:ext uri="{FF2B5EF4-FFF2-40B4-BE49-F238E27FC236}">
              <a16:creationId xmlns:a16="http://schemas.microsoft.com/office/drawing/2014/main" id="{00000000-0008-0000-0300-000033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76" name="AutoShape 2">
          <a:extLst>
            <a:ext uri="{FF2B5EF4-FFF2-40B4-BE49-F238E27FC236}">
              <a16:creationId xmlns:a16="http://schemas.microsoft.com/office/drawing/2014/main" id="{00000000-0008-0000-0300-000034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77" name="AutoShape 2">
          <a:extLst>
            <a:ext uri="{FF2B5EF4-FFF2-40B4-BE49-F238E27FC236}">
              <a16:creationId xmlns:a16="http://schemas.microsoft.com/office/drawing/2014/main" id="{00000000-0008-0000-0300-000035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78" name="AutoShape 2">
          <a:extLst>
            <a:ext uri="{FF2B5EF4-FFF2-40B4-BE49-F238E27FC236}">
              <a16:creationId xmlns:a16="http://schemas.microsoft.com/office/drawing/2014/main" id="{00000000-0008-0000-0300-000036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79" name="AutoShape 2">
          <a:extLst>
            <a:ext uri="{FF2B5EF4-FFF2-40B4-BE49-F238E27FC236}">
              <a16:creationId xmlns:a16="http://schemas.microsoft.com/office/drawing/2014/main" id="{00000000-0008-0000-0300-000037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80" name="AutoShape 2">
          <a:extLst>
            <a:ext uri="{FF2B5EF4-FFF2-40B4-BE49-F238E27FC236}">
              <a16:creationId xmlns:a16="http://schemas.microsoft.com/office/drawing/2014/main" id="{00000000-0008-0000-0300-000038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81" name="AutoShape 2">
          <a:extLst>
            <a:ext uri="{FF2B5EF4-FFF2-40B4-BE49-F238E27FC236}">
              <a16:creationId xmlns:a16="http://schemas.microsoft.com/office/drawing/2014/main" id="{00000000-0008-0000-0300-000039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82" name="AutoShape 2">
          <a:extLst>
            <a:ext uri="{FF2B5EF4-FFF2-40B4-BE49-F238E27FC236}">
              <a16:creationId xmlns:a16="http://schemas.microsoft.com/office/drawing/2014/main" id="{00000000-0008-0000-0300-00003A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83" name="AutoShape 2">
          <a:extLst>
            <a:ext uri="{FF2B5EF4-FFF2-40B4-BE49-F238E27FC236}">
              <a16:creationId xmlns:a16="http://schemas.microsoft.com/office/drawing/2014/main" id="{00000000-0008-0000-0300-00003B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84" name="AutoShape 2">
          <a:extLst>
            <a:ext uri="{FF2B5EF4-FFF2-40B4-BE49-F238E27FC236}">
              <a16:creationId xmlns:a16="http://schemas.microsoft.com/office/drawing/2014/main" id="{00000000-0008-0000-0300-00003C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85" name="AutoShape 2">
          <a:extLst>
            <a:ext uri="{FF2B5EF4-FFF2-40B4-BE49-F238E27FC236}">
              <a16:creationId xmlns:a16="http://schemas.microsoft.com/office/drawing/2014/main" id="{00000000-0008-0000-0300-00003D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86" name="AutoShape 2">
          <a:extLst>
            <a:ext uri="{FF2B5EF4-FFF2-40B4-BE49-F238E27FC236}">
              <a16:creationId xmlns:a16="http://schemas.microsoft.com/office/drawing/2014/main" id="{00000000-0008-0000-0300-00003E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87" name="AutoShape 2">
          <a:extLst>
            <a:ext uri="{FF2B5EF4-FFF2-40B4-BE49-F238E27FC236}">
              <a16:creationId xmlns:a16="http://schemas.microsoft.com/office/drawing/2014/main" id="{00000000-0008-0000-0300-00003F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88" name="AutoShape 2">
          <a:extLst>
            <a:ext uri="{FF2B5EF4-FFF2-40B4-BE49-F238E27FC236}">
              <a16:creationId xmlns:a16="http://schemas.microsoft.com/office/drawing/2014/main" id="{00000000-0008-0000-0300-000040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89" name="AutoShape 2">
          <a:extLst>
            <a:ext uri="{FF2B5EF4-FFF2-40B4-BE49-F238E27FC236}">
              <a16:creationId xmlns:a16="http://schemas.microsoft.com/office/drawing/2014/main" id="{00000000-0008-0000-0300-000041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90" name="AutoShape 2">
          <a:extLst>
            <a:ext uri="{FF2B5EF4-FFF2-40B4-BE49-F238E27FC236}">
              <a16:creationId xmlns:a16="http://schemas.microsoft.com/office/drawing/2014/main" id="{00000000-0008-0000-0300-000042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91" name="AutoShape 2">
          <a:extLst>
            <a:ext uri="{FF2B5EF4-FFF2-40B4-BE49-F238E27FC236}">
              <a16:creationId xmlns:a16="http://schemas.microsoft.com/office/drawing/2014/main" id="{00000000-0008-0000-0300-000043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92" name="AutoShape 2">
          <a:extLst>
            <a:ext uri="{FF2B5EF4-FFF2-40B4-BE49-F238E27FC236}">
              <a16:creationId xmlns:a16="http://schemas.microsoft.com/office/drawing/2014/main" id="{00000000-0008-0000-0300-000044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93" name="AutoShape 2">
          <a:extLst>
            <a:ext uri="{FF2B5EF4-FFF2-40B4-BE49-F238E27FC236}">
              <a16:creationId xmlns:a16="http://schemas.microsoft.com/office/drawing/2014/main" id="{00000000-0008-0000-0300-000045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94" name="AutoShape 2">
          <a:extLst>
            <a:ext uri="{FF2B5EF4-FFF2-40B4-BE49-F238E27FC236}">
              <a16:creationId xmlns:a16="http://schemas.microsoft.com/office/drawing/2014/main" id="{00000000-0008-0000-0300-000046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356235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95" name="AutoShape 2">
          <a:extLst>
            <a:ext uri="{FF2B5EF4-FFF2-40B4-BE49-F238E27FC236}">
              <a16:creationId xmlns:a16="http://schemas.microsoft.com/office/drawing/2014/main" id="{00000000-0008-0000-0300-000047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478155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96" name="AutoShape 2">
          <a:extLst>
            <a:ext uri="{FF2B5EF4-FFF2-40B4-BE49-F238E27FC236}">
              <a16:creationId xmlns:a16="http://schemas.microsoft.com/office/drawing/2014/main" id="{00000000-0008-0000-0300-000048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478155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97" name="AutoShape 2">
          <a:extLst>
            <a:ext uri="{FF2B5EF4-FFF2-40B4-BE49-F238E27FC236}">
              <a16:creationId xmlns:a16="http://schemas.microsoft.com/office/drawing/2014/main" id="{00000000-0008-0000-0300-000049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478155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98" name="AutoShape 2">
          <a:extLst>
            <a:ext uri="{FF2B5EF4-FFF2-40B4-BE49-F238E27FC236}">
              <a16:creationId xmlns:a16="http://schemas.microsoft.com/office/drawing/2014/main" id="{00000000-0008-0000-0300-00004A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099" name="AutoShape 2">
          <a:extLst>
            <a:ext uri="{FF2B5EF4-FFF2-40B4-BE49-F238E27FC236}">
              <a16:creationId xmlns:a16="http://schemas.microsoft.com/office/drawing/2014/main" id="{00000000-0008-0000-0300-00004B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100" name="AutoShape 2">
          <a:extLst>
            <a:ext uri="{FF2B5EF4-FFF2-40B4-BE49-F238E27FC236}">
              <a16:creationId xmlns:a16="http://schemas.microsoft.com/office/drawing/2014/main" id="{00000000-0008-0000-0300-00004C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101" name="AutoShape 2">
          <a:extLst>
            <a:ext uri="{FF2B5EF4-FFF2-40B4-BE49-F238E27FC236}">
              <a16:creationId xmlns:a16="http://schemas.microsoft.com/office/drawing/2014/main" id="{00000000-0008-0000-0300-00004D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102" name="AutoShape 2">
          <a:extLst>
            <a:ext uri="{FF2B5EF4-FFF2-40B4-BE49-F238E27FC236}">
              <a16:creationId xmlns:a16="http://schemas.microsoft.com/office/drawing/2014/main" id="{00000000-0008-0000-0300-00004E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103" name="AutoShape 2">
          <a:extLst>
            <a:ext uri="{FF2B5EF4-FFF2-40B4-BE49-F238E27FC236}">
              <a16:creationId xmlns:a16="http://schemas.microsoft.com/office/drawing/2014/main" id="{00000000-0008-0000-0300-00004F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104" name="AutoShape 2">
          <a:extLst>
            <a:ext uri="{FF2B5EF4-FFF2-40B4-BE49-F238E27FC236}">
              <a16:creationId xmlns:a16="http://schemas.microsoft.com/office/drawing/2014/main" id="{00000000-0008-0000-0300-000050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105" name="AutoShape 2">
          <a:extLst>
            <a:ext uri="{FF2B5EF4-FFF2-40B4-BE49-F238E27FC236}">
              <a16:creationId xmlns:a16="http://schemas.microsoft.com/office/drawing/2014/main" id="{00000000-0008-0000-0300-000051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1106" name="AutoShape 2">
          <a:extLst>
            <a:ext uri="{FF2B5EF4-FFF2-40B4-BE49-F238E27FC236}">
              <a16:creationId xmlns:a16="http://schemas.microsoft.com/office/drawing/2014/main" id="{00000000-0008-0000-0300-000052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30480</xdr:colOff>
      <xdr:row>20</xdr:row>
      <xdr:rowOff>83820</xdr:rowOff>
    </xdr:to>
    <xdr:sp macro="" textlink="">
      <xdr:nvSpPr>
        <xdr:cNvPr id="32" name="AutoShape 2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1832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30480</xdr:colOff>
      <xdr:row>20</xdr:row>
      <xdr:rowOff>83820</xdr:rowOff>
    </xdr:to>
    <xdr:sp macro="" textlink="">
      <xdr:nvSpPr>
        <xdr:cNvPr id="33" name="AutoShape 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1832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34" name="AutoShape 2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35" name="AutoShape 2">
          <a:extLst>
            <a:ext uri="{FF2B5EF4-FFF2-40B4-BE49-F238E27FC236}">
              <a16:creationId xmlns:a16="http://schemas.microsoft.com/office/drawing/2014/main" id="{5A500276-0DE3-4F13-8614-277E1E6B07D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36" name="AutoShape 2">
          <a:extLst>
            <a:ext uri="{FF2B5EF4-FFF2-40B4-BE49-F238E27FC236}">
              <a16:creationId xmlns:a16="http://schemas.microsoft.com/office/drawing/2014/main" id="{DBE74D41-66C8-4FA6-9B5A-077247DC800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37" name="AutoShape 2">
          <a:extLst>
            <a:ext uri="{FF2B5EF4-FFF2-40B4-BE49-F238E27FC236}">
              <a16:creationId xmlns:a16="http://schemas.microsoft.com/office/drawing/2014/main" id="{D305244A-A315-46C6-828A-522A37B5C9E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38" name="AutoShape 2">
          <a:extLst>
            <a:ext uri="{FF2B5EF4-FFF2-40B4-BE49-F238E27FC236}">
              <a16:creationId xmlns:a16="http://schemas.microsoft.com/office/drawing/2014/main" id="{411DA74E-BBCA-4780-9B70-3DE76D77085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39" name="AutoShape 2">
          <a:extLst>
            <a:ext uri="{FF2B5EF4-FFF2-40B4-BE49-F238E27FC236}">
              <a16:creationId xmlns:a16="http://schemas.microsoft.com/office/drawing/2014/main" id="{0909BC4E-423D-477E-AD76-8A8BD785A57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40" name="AutoShape 2">
          <a:extLst>
            <a:ext uri="{FF2B5EF4-FFF2-40B4-BE49-F238E27FC236}">
              <a16:creationId xmlns:a16="http://schemas.microsoft.com/office/drawing/2014/main" id="{D9589051-CC9C-4876-95F7-69DE36F1C01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41" name="AutoShape 2">
          <a:extLst>
            <a:ext uri="{FF2B5EF4-FFF2-40B4-BE49-F238E27FC236}">
              <a16:creationId xmlns:a16="http://schemas.microsoft.com/office/drawing/2014/main" id="{030CAEEF-925B-43C7-9853-3854BBBDDF7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42" name="AutoShape 2">
          <a:extLst>
            <a:ext uri="{FF2B5EF4-FFF2-40B4-BE49-F238E27FC236}">
              <a16:creationId xmlns:a16="http://schemas.microsoft.com/office/drawing/2014/main" id="{5347289D-5220-4D9D-B571-C2FA30F9DE5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43" name="AutoShape 2">
          <a:extLst>
            <a:ext uri="{FF2B5EF4-FFF2-40B4-BE49-F238E27FC236}">
              <a16:creationId xmlns:a16="http://schemas.microsoft.com/office/drawing/2014/main" id="{990300D9-ED6B-4BA1-9132-BD8CE1D81B6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44" name="AutoShape 2">
          <a:extLst>
            <a:ext uri="{FF2B5EF4-FFF2-40B4-BE49-F238E27FC236}">
              <a16:creationId xmlns:a16="http://schemas.microsoft.com/office/drawing/2014/main" id="{47E97CCB-0481-44DD-A119-C1ED54A3C83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45" name="AutoShape 2">
          <a:extLst>
            <a:ext uri="{FF2B5EF4-FFF2-40B4-BE49-F238E27FC236}">
              <a16:creationId xmlns:a16="http://schemas.microsoft.com/office/drawing/2014/main" id="{54CA6062-07B1-4891-836C-C4286A981A2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46" name="AutoShape 2">
          <a:extLst>
            <a:ext uri="{FF2B5EF4-FFF2-40B4-BE49-F238E27FC236}">
              <a16:creationId xmlns:a16="http://schemas.microsoft.com/office/drawing/2014/main" id="{B06438C7-76AC-499C-9732-F74AA4558DA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47" name="AutoShape 2">
          <a:extLst>
            <a:ext uri="{FF2B5EF4-FFF2-40B4-BE49-F238E27FC236}">
              <a16:creationId xmlns:a16="http://schemas.microsoft.com/office/drawing/2014/main" id="{3A9E2749-1556-4BFA-9E44-2919EF53676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48" name="AutoShape 2">
          <a:extLst>
            <a:ext uri="{FF2B5EF4-FFF2-40B4-BE49-F238E27FC236}">
              <a16:creationId xmlns:a16="http://schemas.microsoft.com/office/drawing/2014/main" id="{27CA6580-DF99-445D-912B-AE71D2B07E3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49" name="AutoShape 2">
          <a:extLst>
            <a:ext uri="{FF2B5EF4-FFF2-40B4-BE49-F238E27FC236}">
              <a16:creationId xmlns:a16="http://schemas.microsoft.com/office/drawing/2014/main" id="{4C6FEF55-E9B2-41A9-BE6D-82C6D4514E5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50" name="AutoShape 2">
          <a:extLst>
            <a:ext uri="{FF2B5EF4-FFF2-40B4-BE49-F238E27FC236}">
              <a16:creationId xmlns:a16="http://schemas.microsoft.com/office/drawing/2014/main" id="{AA5C181A-EFD0-44A3-A95F-0BE3D9D2794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51" name="AutoShape 2">
          <a:extLst>
            <a:ext uri="{FF2B5EF4-FFF2-40B4-BE49-F238E27FC236}">
              <a16:creationId xmlns:a16="http://schemas.microsoft.com/office/drawing/2014/main" id="{33E6810C-09CE-44E8-8EB8-6AC981C58BE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52" name="AutoShape 2">
          <a:extLst>
            <a:ext uri="{FF2B5EF4-FFF2-40B4-BE49-F238E27FC236}">
              <a16:creationId xmlns:a16="http://schemas.microsoft.com/office/drawing/2014/main" id="{BB985F55-6CDC-4FB1-97F3-D246D55898A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53" name="AutoShape 2">
          <a:extLst>
            <a:ext uri="{FF2B5EF4-FFF2-40B4-BE49-F238E27FC236}">
              <a16:creationId xmlns:a16="http://schemas.microsoft.com/office/drawing/2014/main" id="{98E960AD-09AE-4069-AE7A-B54E92A8288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54" name="AutoShape 2">
          <a:extLst>
            <a:ext uri="{FF2B5EF4-FFF2-40B4-BE49-F238E27FC236}">
              <a16:creationId xmlns:a16="http://schemas.microsoft.com/office/drawing/2014/main" id="{15F725D5-2ADA-4A1A-9AAD-1805F151679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55" name="AutoShape 2">
          <a:extLst>
            <a:ext uri="{FF2B5EF4-FFF2-40B4-BE49-F238E27FC236}">
              <a16:creationId xmlns:a16="http://schemas.microsoft.com/office/drawing/2014/main" id="{E64C5DC7-7F87-49E9-A498-C5BDE51BC98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56" name="AutoShape 2">
          <a:extLst>
            <a:ext uri="{FF2B5EF4-FFF2-40B4-BE49-F238E27FC236}">
              <a16:creationId xmlns:a16="http://schemas.microsoft.com/office/drawing/2014/main" id="{B4487163-DD40-4AC0-90A6-47810289405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20</xdr:row>
      <xdr:rowOff>76200</xdr:rowOff>
    </xdr:to>
    <xdr:sp macro="" textlink="">
      <xdr:nvSpPr>
        <xdr:cNvPr id="57" name="AutoShape 2">
          <a:extLst>
            <a:ext uri="{FF2B5EF4-FFF2-40B4-BE49-F238E27FC236}">
              <a16:creationId xmlns:a16="http://schemas.microsoft.com/office/drawing/2014/main" id="{CD0DBA37-0DB3-490D-8A2D-0872D8F5A72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58" name="AutoShape 2">
          <a:extLst>
            <a:ext uri="{FF2B5EF4-FFF2-40B4-BE49-F238E27FC236}">
              <a16:creationId xmlns:a16="http://schemas.microsoft.com/office/drawing/2014/main" id="{EA7C34FA-33A0-45CB-9135-7343D2637D3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59" name="AutoShape 2">
          <a:extLst>
            <a:ext uri="{FF2B5EF4-FFF2-40B4-BE49-F238E27FC236}">
              <a16:creationId xmlns:a16="http://schemas.microsoft.com/office/drawing/2014/main" id="{C5F32E77-F74F-4D7C-B42D-307E9125D66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60" name="AutoShape 2">
          <a:extLst>
            <a:ext uri="{FF2B5EF4-FFF2-40B4-BE49-F238E27FC236}">
              <a16:creationId xmlns:a16="http://schemas.microsoft.com/office/drawing/2014/main" id="{CE400A49-9756-44B1-91C2-AE96285307E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61" name="AutoShape 2">
          <a:extLst>
            <a:ext uri="{FF2B5EF4-FFF2-40B4-BE49-F238E27FC236}">
              <a16:creationId xmlns:a16="http://schemas.microsoft.com/office/drawing/2014/main" id="{C6801F33-1F3F-42BD-8041-D84BB5AB190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62" name="AutoShape 2">
          <a:extLst>
            <a:ext uri="{FF2B5EF4-FFF2-40B4-BE49-F238E27FC236}">
              <a16:creationId xmlns:a16="http://schemas.microsoft.com/office/drawing/2014/main" id="{0439CFBD-1A1D-4D91-BD7D-075B6E453AA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63" name="AutoShape 2">
          <a:extLst>
            <a:ext uri="{FF2B5EF4-FFF2-40B4-BE49-F238E27FC236}">
              <a16:creationId xmlns:a16="http://schemas.microsoft.com/office/drawing/2014/main" id="{32996B26-8F6E-4D11-9FC6-F232B144A96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07" name="AutoShape 2">
          <a:extLst>
            <a:ext uri="{FF2B5EF4-FFF2-40B4-BE49-F238E27FC236}">
              <a16:creationId xmlns:a16="http://schemas.microsoft.com/office/drawing/2014/main" id="{B9097B7A-EE25-45A0-96AA-AA3D7F48390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08" name="AutoShape 2">
          <a:extLst>
            <a:ext uri="{FF2B5EF4-FFF2-40B4-BE49-F238E27FC236}">
              <a16:creationId xmlns:a16="http://schemas.microsoft.com/office/drawing/2014/main" id="{2C1AB1B4-EE74-45BC-99A3-29A9F0A5414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09" name="AutoShape 2">
          <a:extLst>
            <a:ext uri="{FF2B5EF4-FFF2-40B4-BE49-F238E27FC236}">
              <a16:creationId xmlns:a16="http://schemas.microsoft.com/office/drawing/2014/main" id="{8158A069-B779-4523-BB68-A2854C5C66F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10" name="AutoShape 2">
          <a:extLst>
            <a:ext uri="{FF2B5EF4-FFF2-40B4-BE49-F238E27FC236}">
              <a16:creationId xmlns:a16="http://schemas.microsoft.com/office/drawing/2014/main" id="{37088E0F-E3EC-4E87-87FB-B65C60C22C4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11" name="AutoShape 2">
          <a:extLst>
            <a:ext uri="{FF2B5EF4-FFF2-40B4-BE49-F238E27FC236}">
              <a16:creationId xmlns:a16="http://schemas.microsoft.com/office/drawing/2014/main" id="{D9A5DBED-4874-47A9-8DD0-A9F2159AF00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12" name="AutoShape 2">
          <a:extLst>
            <a:ext uri="{FF2B5EF4-FFF2-40B4-BE49-F238E27FC236}">
              <a16:creationId xmlns:a16="http://schemas.microsoft.com/office/drawing/2014/main" id="{3034570B-493A-426A-A905-ED3FF968882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13" name="AutoShape 2">
          <a:extLst>
            <a:ext uri="{FF2B5EF4-FFF2-40B4-BE49-F238E27FC236}">
              <a16:creationId xmlns:a16="http://schemas.microsoft.com/office/drawing/2014/main" id="{743DC544-2CF2-42DD-807F-F192EBE90D2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14" name="AutoShape 2">
          <a:extLst>
            <a:ext uri="{FF2B5EF4-FFF2-40B4-BE49-F238E27FC236}">
              <a16:creationId xmlns:a16="http://schemas.microsoft.com/office/drawing/2014/main" id="{1476938A-D448-4683-AE6A-CD795055851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15" name="AutoShape 2">
          <a:extLst>
            <a:ext uri="{FF2B5EF4-FFF2-40B4-BE49-F238E27FC236}">
              <a16:creationId xmlns:a16="http://schemas.microsoft.com/office/drawing/2014/main" id="{EAB6D910-952A-413A-A767-75458CC7040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16" name="AutoShape 2">
          <a:extLst>
            <a:ext uri="{FF2B5EF4-FFF2-40B4-BE49-F238E27FC236}">
              <a16:creationId xmlns:a16="http://schemas.microsoft.com/office/drawing/2014/main" id="{940A4327-B189-4F2A-9B73-B1C119B56B7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17" name="AutoShape 2">
          <a:extLst>
            <a:ext uri="{FF2B5EF4-FFF2-40B4-BE49-F238E27FC236}">
              <a16:creationId xmlns:a16="http://schemas.microsoft.com/office/drawing/2014/main" id="{18CE7D09-6BA8-405D-9812-3C3079B549D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18" name="AutoShape 2">
          <a:extLst>
            <a:ext uri="{FF2B5EF4-FFF2-40B4-BE49-F238E27FC236}">
              <a16:creationId xmlns:a16="http://schemas.microsoft.com/office/drawing/2014/main" id="{4D031FC3-3B83-4C9D-BCCC-5B131AB175E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19" name="AutoShape 2">
          <a:extLst>
            <a:ext uri="{FF2B5EF4-FFF2-40B4-BE49-F238E27FC236}">
              <a16:creationId xmlns:a16="http://schemas.microsoft.com/office/drawing/2014/main" id="{B546CB70-6975-4DF6-83D1-0E8F1C01AA9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20" name="AutoShape 2">
          <a:extLst>
            <a:ext uri="{FF2B5EF4-FFF2-40B4-BE49-F238E27FC236}">
              <a16:creationId xmlns:a16="http://schemas.microsoft.com/office/drawing/2014/main" id="{D247DD04-C661-4C14-8341-70D2EF4E879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21" name="AutoShape 2">
          <a:extLst>
            <a:ext uri="{FF2B5EF4-FFF2-40B4-BE49-F238E27FC236}">
              <a16:creationId xmlns:a16="http://schemas.microsoft.com/office/drawing/2014/main" id="{14BDB83A-CB0A-4BEF-9FA7-C5F50863DB3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22" name="AutoShape 2">
          <a:extLst>
            <a:ext uri="{FF2B5EF4-FFF2-40B4-BE49-F238E27FC236}">
              <a16:creationId xmlns:a16="http://schemas.microsoft.com/office/drawing/2014/main" id="{9F51FEC4-5F90-49F5-BF27-BB866061A73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23" name="AutoShape 2">
          <a:extLst>
            <a:ext uri="{FF2B5EF4-FFF2-40B4-BE49-F238E27FC236}">
              <a16:creationId xmlns:a16="http://schemas.microsoft.com/office/drawing/2014/main" id="{245F8FA2-D685-473E-8151-13C0291508A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24" name="AutoShape 2">
          <a:extLst>
            <a:ext uri="{FF2B5EF4-FFF2-40B4-BE49-F238E27FC236}">
              <a16:creationId xmlns:a16="http://schemas.microsoft.com/office/drawing/2014/main" id="{C4A2829E-0B82-4B5C-A3A8-64AA7A9923D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25" name="AutoShape 2">
          <a:extLst>
            <a:ext uri="{FF2B5EF4-FFF2-40B4-BE49-F238E27FC236}">
              <a16:creationId xmlns:a16="http://schemas.microsoft.com/office/drawing/2014/main" id="{815CEE14-88A5-4093-8C1D-9302FF24F06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26" name="AutoShape 2">
          <a:extLst>
            <a:ext uri="{FF2B5EF4-FFF2-40B4-BE49-F238E27FC236}">
              <a16:creationId xmlns:a16="http://schemas.microsoft.com/office/drawing/2014/main" id="{F5DEA1A3-29A5-4488-ADE4-20C78262CC2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27" name="AutoShape 2">
          <a:extLst>
            <a:ext uri="{FF2B5EF4-FFF2-40B4-BE49-F238E27FC236}">
              <a16:creationId xmlns:a16="http://schemas.microsoft.com/office/drawing/2014/main" id="{73262B81-D908-4E41-BA09-BB03094C16C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28" name="AutoShape 2">
          <a:extLst>
            <a:ext uri="{FF2B5EF4-FFF2-40B4-BE49-F238E27FC236}">
              <a16:creationId xmlns:a16="http://schemas.microsoft.com/office/drawing/2014/main" id="{ABA07288-001D-43BB-BBB1-0B87A353FE0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29" name="AutoShape 2">
          <a:extLst>
            <a:ext uri="{FF2B5EF4-FFF2-40B4-BE49-F238E27FC236}">
              <a16:creationId xmlns:a16="http://schemas.microsoft.com/office/drawing/2014/main" id="{80913B8B-32C9-4888-BEB6-5E31A1FC0C52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30" name="AutoShape 2">
          <a:extLst>
            <a:ext uri="{FF2B5EF4-FFF2-40B4-BE49-F238E27FC236}">
              <a16:creationId xmlns:a16="http://schemas.microsoft.com/office/drawing/2014/main" id="{7C895E46-F2AF-4D15-874B-7721BC49041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31" name="AutoShape 2">
          <a:extLst>
            <a:ext uri="{FF2B5EF4-FFF2-40B4-BE49-F238E27FC236}">
              <a16:creationId xmlns:a16="http://schemas.microsoft.com/office/drawing/2014/main" id="{C21821AC-1D7A-4A99-A41C-6B10EA8B8B2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32" name="AutoShape 2">
          <a:extLst>
            <a:ext uri="{FF2B5EF4-FFF2-40B4-BE49-F238E27FC236}">
              <a16:creationId xmlns:a16="http://schemas.microsoft.com/office/drawing/2014/main" id="{EF4DC826-3FED-48AE-8F06-3715CEB350D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33" name="AutoShape 2">
          <a:extLst>
            <a:ext uri="{FF2B5EF4-FFF2-40B4-BE49-F238E27FC236}">
              <a16:creationId xmlns:a16="http://schemas.microsoft.com/office/drawing/2014/main" id="{CE4BB719-3725-4F90-95F5-4B8D33BF0BC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34" name="AutoShape 2">
          <a:extLst>
            <a:ext uri="{FF2B5EF4-FFF2-40B4-BE49-F238E27FC236}">
              <a16:creationId xmlns:a16="http://schemas.microsoft.com/office/drawing/2014/main" id="{E9FEB87B-C312-4D5E-ACFD-BD520F61BE3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35" name="AutoShape 2">
          <a:extLst>
            <a:ext uri="{FF2B5EF4-FFF2-40B4-BE49-F238E27FC236}">
              <a16:creationId xmlns:a16="http://schemas.microsoft.com/office/drawing/2014/main" id="{2E859577-EADC-402D-8F2C-DC018F713A0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36" name="AutoShape 2">
          <a:extLst>
            <a:ext uri="{FF2B5EF4-FFF2-40B4-BE49-F238E27FC236}">
              <a16:creationId xmlns:a16="http://schemas.microsoft.com/office/drawing/2014/main" id="{E24998DE-7A7C-4325-82A4-6B5E6BCE185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37" name="AutoShape 2">
          <a:extLst>
            <a:ext uri="{FF2B5EF4-FFF2-40B4-BE49-F238E27FC236}">
              <a16:creationId xmlns:a16="http://schemas.microsoft.com/office/drawing/2014/main" id="{DF0CC55A-3EE8-4529-A3DC-1BCC40FAE19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38" name="AutoShape 2">
          <a:extLst>
            <a:ext uri="{FF2B5EF4-FFF2-40B4-BE49-F238E27FC236}">
              <a16:creationId xmlns:a16="http://schemas.microsoft.com/office/drawing/2014/main" id="{E183BEB8-E305-4072-A3D2-7CD076A0742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39" name="AutoShape 2">
          <a:extLst>
            <a:ext uri="{FF2B5EF4-FFF2-40B4-BE49-F238E27FC236}">
              <a16:creationId xmlns:a16="http://schemas.microsoft.com/office/drawing/2014/main" id="{168367EA-F589-408C-A75D-D1A8DE159DC2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40" name="AutoShape 2">
          <a:extLst>
            <a:ext uri="{FF2B5EF4-FFF2-40B4-BE49-F238E27FC236}">
              <a16:creationId xmlns:a16="http://schemas.microsoft.com/office/drawing/2014/main" id="{3694ED31-58D3-418B-9E06-ABB0141AAAC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41" name="AutoShape 2">
          <a:extLst>
            <a:ext uri="{FF2B5EF4-FFF2-40B4-BE49-F238E27FC236}">
              <a16:creationId xmlns:a16="http://schemas.microsoft.com/office/drawing/2014/main" id="{E8DE8528-509E-4319-88D4-001B583BD67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42" name="AutoShape 2">
          <a:extLst>
            <a:ext uri="{FF2B5EF4-FFF2-40B4-BE49-F238E27FC236}">
              <a16:creationId xmlns:a16="http://schemas.microsoft.com/office/drawing/2014/main" id="{92B2DE68-69AE-4578-AF12-24627861AF1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43" name="AutoShape 2">
          <a:extLst>
            <a:ext uri="{FF2B5EF4-FFF2-40B4-BE49-F238E27FC236}">
              <a16:creationId xmlns:a16="http://schemas.microsoft.com/office/drawing/2014/main" id="{6413087A-F7A7-4FCE-A220-6EB916F1FDE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44" name="AutoShape 2">
          <a:extLst>
            <a:ext uri="{FF2B5EF4-FFF2-40B4-BE49-F238E27FC236}">
              <a16:creationId xmlns:a16="http://schemas.microsoft.com/office/drawing/2014/main" id="{8AAAACEF-D6A4-47FF-8A90-F5EFFBAA619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45" name="AutoShape 2">
          <a:extLst>
            <a:ext uri="{FF2B5EF4-FFF2-40B4-BE49-F238E27FC236}">
              <a16:creationId xmlns:a16="http://schemas.microsoft.com/office/drawing/2014/main" id="{B48AB4E3-4C0B-494B-B767-FAF26264627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46" name="AutoShape 2">
          <a:extLst>
            <a:ext uri="{FF2B5EF4-FFF2-40B4-BE49-F238E27FC236}">
              <a16:creationId xmlns:a16="http://schemas.microsoft.com/office/drawing/2014/main" id="{D44A525B-25F4-413A-9DD6-C539555C37D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47" name="AutoShape 2">
          <a:extLst>
            <a:ext uri="{FF2B5EF4-FFF2-40B4-BE49-F238E27FC236}">
              <a16:creationId xmlns:a16="http://schemas.microsoft.com/office/drawing/2014/main" id="{5F7A9796-3A6D-4011-A6AC-0A60E09C6A5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48" name="AutoShape 2">
          <a:extLst>
            <a:ext uri="{FF2B5EF4-FFF2-40B4-BE49-F238E27FC236}">
              <a16:creationId xmlns:a16="http://schemas.microsoft.com/office/drawing/2014/main" id="{10AF4BEB-BC4C-47D1-9CDB-6704DEF3D7B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49" name="AutoShape 2">
          <a:extLst>
            <a:ext uri="{FF2B5EF4-FFF2-40B4-BE49-F238E27FC236}">
              <a16:creationId xmlns:a16="http://schemas.microsoft.com/office/drawing/2014/main" id="{93D840D9-F3B2-4215-A235-6CE4D2D43B6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50" name="AutoShape 2">
          <a:extLst>
            <a:ext uri="{FF2B5EF4-FFF2-40B4-BE49-F238E27FC236}">
              <a16:creationId xmlns:a16="http://schemas.microsoft.com/office/drawing/2014/main" id="{2D06930D-16F8-4E4B-B332-2B91BB3B684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51" name="AutoShape 2">
          <a:extLst>
            <a:ext uri="{FF2B5EF4-FFF2-40B4-BE49-F238E27FC236}">
              <a16:creationId xmlns:a16="http://schemas.microsoft.com/office/drawing/2014/main" id="{0A3B6830-82F5-4D46-82B7-C52F836E085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52" name="AutoShape 2">
          <a:extLst>
            <a:ext uri="{FF2B5EF4-FFF2-40B4-BE49-F238E27FC236}">
              <a16:creationId xmlns:a16="http://schemas.microsoft.com/office/drawing/2014/main" id="{49462F8C-CAF2-43B1-9670-44361454416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53" name="AutoShape 2">
          <a:extLst>
            <a:ext uri="{FF2B5EF4-FFF2-40B4-BE49-F238E27FC236}">
              <a16:creationId xmlns:a16="http://schemas.microsoft.com/office/drawing/2014/main" id="{66AA57FA-C2B5-4E66-936A-C4F805C76A0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54" name="AutoShape 2">
          <a:extLst>
            <a:ext uri="{FF2B5EF4-FFF2-40B4-BE49-F238E27FC236}">
              <a16:creationId xmlns:a16="http://schemas.microsoft.com/office/drawing/2014/main" id="{4ED14802-4138-4BB2-8EE2-9B57E22C311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55" name="AutoShape 2">
          <a:extLst>
            <a:ext uri="{FF2B5EF4-FFF2-40B4-BE49-F238E27FC236}">
              <a16:creationId xmlns:a16="http://schemas.microsoft.com/office/drawing/2014/main" id="{39F29935-A9CC-4BEF-832F-05197C2D7932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56" name="AutoShape 2">
          <a:extLst>
            <a:ext uri="{FF2B5EF4-FFF2-40B4-BE49-F238E27FC236}">
              <a16:creationId xmlns:a16="http://schemas.microsoft.com/office/drawing/2014/main" id="{C79386F8-F8C3-4274-80A9-54CE8536E1D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57" name="AutoShape 2">
          <a:extLst>
            <a:ext uri="{FF2B5EF4-FFF2-40B4-BE49-F238E27FC236}">
              <a16:creationId xmlns:a16="http://schemas.microsoft.com/office/drawing/2014/main" id="{BA0359F6-F717-4BAA-84B9-0015A2AF01C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58" name="AutoShape 2">
          <a:extLst>
            <a:ext uri="{FF2B5EF4-FFF2-40B4-BE49-F238E27FC236}">
              <a16:creationId xmlns:a16="http://schemas.microsoft.com/office/drawing/2014/main" id="{C298C25A-4AE0-4067-9E72-66084762173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59" name="AutoShape 2">
          <a:extLst>
            <a:ext uri="{FF2B5EF4-FFF2-40B4-BE49-F238E27FC236}">
              <a16:creationId xmlns:a16="http://schemas.microsoft.com/office/drawing/2014/main" id="{F1BDA79A-E58B-4AE1-9927-982C4BEA08E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60" name="AutoShape 2">
          <a:extLst>
            <a:ext uri="{FF2B5EF4-FFF2-40B4-BE49-F238E27FC236}">
              <a16:creationId xmlns:a16="http://schemas.microsoft.com/office/drawing/2014/main" id="{71B5CACA-AD76-4351-BE77-AD9E920BE41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61" name="AutoShape 2">
          <a:extLst>
            <a:ext uri="{FF2B5EF4-FFF2-40B4-BE49-F238E27FC236}">
              <a16:creationId xmlns:a16="http://schemas.microsoft.com/office/drawing/2014/main" id="{2EA2F1B9-C77F-4D7E-AED9-49614E8B507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62" name="AutoShape 2">
          <a:extLst>
            <a:ext uri="{FF2B5EF4-FFF2-40B4-BE49-F238E27FC236}">
              <a16:creationId xmlns:a16="http://schemas.microsoft.com/office/drawing/2014/main" id="{5976B2DC-3449-4A63-A357-A3FC4471258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63" name="AutoShape 2">
          <a:extLst>
            <a:ext uri="{FF2B5EF4-FFF2-40B4-BE49-F238E27FC236}">
              <a16:creationId xmlns:a16="http://schemas.microsoft.com/office/drawing/2014/main" id="{9DDC2440-D1DF-4D69-AE2F-B9960DC7085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64" name="AutoShape 2">
          <a:extLst>
            <a:ext uri="{FF2B5EF4-FFF2-40B4-BE49-F238E27FC236}">
              <a16:creationId xmlns:a16="http://schemas.microsoft.com/office/drawing/2014/main" id="{35BCF368-276D-4EF7-98B1-4E3D779200C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65" name="AutoShape 2">
          <a:extLst>
            <a:ext uri="{FF2B5EF4-FFF2-40B4-BE49-F238E27FC236}">
              <a16:creationId xmlns:a16="http://schemas.microsoft.com/office/drawing/2014/main" id="{63841895-C20D-4070-87E4-C97EC862DC3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66" name="AutoShape 2">
          <a:extLst>
            <a:ext uri="{FF2B5EF4-FFF2-40B4-BE49-F238E27FC236}">
              <a16:creationId xmlns:a16="http://schemas.microsoft.com/office/drawing/2014/main" id="{7157F633-1508-4257-8882-D7E9AD47370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67" name="AutoShape 2">
          <a:extLst>
            <a:ext uri="{FF2B5EF4-FFF2-40B4-BE49-F238E27FC236}">
              <a16:creationId xmlns:a16="http://schemas.microsoft.com/office/drawing/2014/main" id="{9AFD0EF9-E986-44EE-A748-68AC47550AA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68" name="AutoShape 2">
          <a:extLst>
            <a:ext uri="{FF2B5EF4-FFF2-40B4-BE49-F238E27FC236}">
              <a16:creationId xmlns:a16="http://schemas.microsoft.com/office/drawing/2014/main" id="{F47B4881-FCAA-475B-8413-80C1CBB5232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69" name="AutoShape 2">
          <a:extLst>
            <a:ext uri="{FF2B5EF4-FFF2-40B4-BE49-F238E27FC236}">
              <a16:creationId xmlns:a16="http://schemas.microsoft.com/office/drawing/2014/main" id="{E52DD555-5020-4A0B-A606-5967AF7D2BF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70" name="AutoShape 2">
          <a:extLst>
            <a:ext uri="{FF2B5EF4-FFF2-40B4-BE49-F238E27FC236}">
              <a16:creationId xmlns:a16="http://schemas.microsoft.com/office/drawing/2014/main" id="{8DDD7370-B965-40ED-B8F1-36D8C286FF1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71" name="AutoShape 2">
          <a:extLst>
            <a:ext uri="{FF2B5EF4-FFF2-40B4-BE49-F238E27FC236}">
              <a16:creationId xmlns:a16="http://schemas.microsoft.com/office/drawing/2014/main" id="{F157EF00-DC71-4DB7-BA0D-09303F6F73C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72" name="AutoShape 2">
          <a:extLst>
            <a:ext uri="{FF2B5EF4-FFF2-40B4-BE49-F238E27FC236}">
              <a16:creationId xmlns:a16="http://schemas.microsoft.com/office/drawing/2014/main" id="{2B722E25-2FA4-48D7-A30A-C6E84B56CB22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73" name="AutoShape 2">
          <a:extLst>
            <a:ext uri="{FF2B5EF4-FFF2-40B4-BE49-F238E27FC236}">
              <a16:creationId xmlns:a16="http://schemas.microsoft.com/office/drawing/2014/main" id="{FC9BE9B0-B205-4AB7-8829-8D828612CCB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74" name="AutoShape 2">
          <a:extLst>
            <a:ext uri="{FF2B5EF4-FFF2-40B4-BE49-F238E27FC236}">
              <a16:creationId xmlns:a16="http://schemas.microsoft.com/office/drawing/2014/main" id="{E46192B6-E4A7-4DDC-B69F-54790ADC599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75" name="AutoShape 2">
          <a:extLst>
            <a:ext uri="{FF2B5EF4-FFF2-40B4-BE49-F238E27FC236}">
              <a16:creationId xmlns:a16="http://schemas.microsoft.com/office/drawing/2014/main" id="{87A1B7A7-F5DA-4A51-8B6B-A2C00EBE9C3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76" name="AutoShape 2">
          <a:extLst>
            <a:ext uri="{FF2B5EF4-FFF2-40B4-BE49-F238E27FC236}">
              <a16:creationId xmlns:a16="http://schemas.microsoft.com/office/drawing/2014/main" id="{5C44AE78-DE50-40D1-A785-52F3397875E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77" name="AutoShape 2">
          <a:extLst>
            <a:ext uri="{FF2B5EF4-FFF2-40B4-BE49-F238E27FC236}">
              <a16:creationId xmlns:a16="http://schemas.microsoft.com/office/drawing/2014/main" id="{7058601F-D3BC-4304-82B0-5C2DE7B4DB9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78" name="AutoShape 2">
          <a:extLst>
            <a:ext uri="{FF2B5EF4-FFF2-40B4-BE49-F238E27FC236}">
              <a16:creationId xmlns:a16="http://schemas.microsoft.com/office/drawing/2014/main" id="{119588B7-7CB1-4E1D-9205-8F2E582819F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79" name="AutoShape 2">
          <a:extLst>
            <a:ext uri="{FF2B5EF4-FFF2-40B4-BE49-F238E27FC236}">
              <a16:creationId xmlns:a16="http://schemas.microsoft.com/office/drawing/2014/main" id="{B9A81F0D-5152-4B95-9943-12A74F2CF89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80" name="AutoShape 2">
          <a:extLst>
            <a:ext uri="{FF2B5EF4-FFF2-40B4-BE49-F238E27FC236}">
              <a16:creationId xmlns:a16="http://schemas.microsoft.com/office/drawing/2014/main" id="{1D57DFDA-9674-4ABC-8E3C-1588DDCA001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81" name="AutoShape 2">
          <a:extLst>
            <a:ext uri="{FF2B5EF4-FFF2-40B4-BE49-F238E27FC236}">
              <a16:creationId xmlns:a16="http://schemas.microsoft.com/office/drawing/2014/main" id="{D5FFC58D-35E9-4B44-BCEC-6C3DC8E08E1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82" name="AutoShape 2">
          <a:extLst>
            <a:ext uri="{FF2B5EF4-FFF2-40B4-BE49-F238E27FC236}">
              <a16:creationId xmlns:a16="http://schemas.microsoft.com/office/drawing/2014/main" id="{56897A38-2529-4DBF-A4D0-15852832947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83" name="AutoShape 2">
          <a:extLst>
            <a:ext uri="{FF2B5EF4-FFF2-40B4-BE49-F238E27FC236}">
              <a16:creationId xmlns:a16="http://schemas.microsoft.com/office/drawing/2014/main" id="{6FC4ACF8-5E84-49B2-AF58-8F10E305C75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84" name="AutoShape 2">
          <a:extLst>
            <a:ext uri="{FF2B5EF4-FFF2-40B4-BE49-F238E27FC236}">
              <a16:creationId xmlns:a16="http://schemas.microsoft.com/office/drawing/2014/main" id="{10EA2AFB-07F6-4EE6-83C7-6EAFCC0C78F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85" name="AutoShape 2">
          <a:extLst>
            <a:ext uri="{FF2B5EF4-FFF2-40B4-BE49-F238E27FC236}">
              <a16:creationId xmlns:a16="http://schemas.microsoft.com/office/drawing/2014/main" id="{3ABD718D-BD33-4D48-A2CA-CEB89DD032D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86" name="AutoShape 2">
          <a:extLst>
            <a:ext uri="{FF2B5EF4-FFF2-40B4-BE49-F238E27FC236}">
              <a16:creationId xmlns:a16="http://schemas.microsoft.com/office/drawing/2014/main" id="{A9F00C2D-0F48-495C-A519-4E1AC18B8C4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87" name="AutoShape 2">
          <a:extLst>
            <a:ext uri="{FF2B5EF4-FFF2-40B4-BE49-F238E27FC236}">
              <a16:creationId xmlns:a16="http://schemas.microsoft.com/office/drawing/2014/main" id="{59BC78D6-6235-41C5-A925-BC441F42652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88" name="AutoShape 2">
          <a:extLst>
            <a:ext uri="{FF2B5EF4-FFF2-40B4-BE49-F238E27FC236}">
              <a16:creationId xmlns:a16="http://schemas.microsoft.com/office/drawing/2014/main" id="{42462488-AF8F-4680-82B6-DA085BB1827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89" name="AutoShape 2">
          <a:extLst>
            <a:ext uri="{FF2B5EF4-FFF2-40B4-BE49-F238E27FC236}">
              <a16:creationId xmlns:a16="http://schemas.microsoft.com/office/drawing/2014/main" id="{4A1C105B-A2D4-48C1-BF4A-CA89D2DF8DA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90" name="AutoShape 2">
          <a:extLst>
            <a:ext uri="{FF2B5EF4-FFF2-40B4-BE49-F238E27FC236}">
              <a16:creationId xmlns:a16="http://schemas.microsoft.com/office/drawing/2014/main" id="{5E7E76E2-BF76-4507-B752-D8E471389B2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91" name="AutoShape 2">
          <a:extLst>
            <a:ext uri="{FF2B5EF4-FFF2-40B4-BE49-F238E27FC236}">
              <a16:creationId xmlns:a16="http://schemas.microsoft.com/office/drawing/2014/main" id="{73E955CE-3719-4D5B-AC9A-4C2800566AC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92" name="AutoShape 2">
          <a:extLst>
            <a:ext uri="{FF2B5EF4-FFF2-40B4-BE49-F238E27FC236}">
              <a16:creationId xmlns:a16="http://schemas.microsoft.com/office/drawing/2014/main" id="{601EF58B-FA2F-46EA-B22F-E5BDD56F166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93" name="AutoShape 2">
          <a:extLst>
            <a:ext uri="{FF2B5EF4-FFF2-40B4-BE49-F238E27FC236}">
              <a16:creationId xmlns:a16="http://schemas.microsoft.com/office/drawing/2014/main" id="{F8FCB789-AC11-48F1-8B75-4E8A18605D42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94" name="AutoShape 2">
          <a:extLst>
            <a:ext uri="{FF2B5EF4-FFF2-40B4-BE49-F238E27FC236}">
              <a16:creationId xmlns:a16="http://schemas.microsoft.com/office/drawing/2014/main" id="{FDDB4A8F-CDE7-44AB-92CD-D89543A1EFF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95" name="AutoShape 2">
          <a:extLst>
            <a:ext uri="{FF2B5EF4-FFF2-40B4-BE49-F238E27FC236}">
              <a16:creationId xmlns:a16="http://schemas.microsoft.com/office/drawing/2014/main" id="{3BF8E339-1CBC-4246-98B0-989BEBB21B9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96" name="AutoShape 2">
          <a:extLst>
            <a:ext uri="{FF2B5EF4-FFF2-40B4-BE49-F238E27FC236}">
              <a16:creationId xmlns:a16="http://schemas.microsoft.com/office/drawing/2014/main" id="{34F321CB-75F7-4002-AB67-165EEC356BE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97" name="AutoShape 2">
          <a:extLst>
            <a:ext uri="{FF2B5EF4-FFF2-40B4-BE49-F238E27FC236}">
              <a16:creationId xmlns:a16="http://schemas.microsoft.com/office/drawing/2014/main" id="{35AC5FA2-EB33-418A-862C-833BAF2F23F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98" name="AutoShape 2">
          <a:extLst>
            <a:ext uri="{FF2B5EF4-FFF2-40B4-BE49-F238E27FC236}">
              <a16:creationId xmlns:a16="http://schemas.microsoft.com/office/drawing/2014/main" id="{2DBA6AC1-40F0-4481-B31E-20A36FBD656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99" name="AutoShape 2">
          <a:extLst>
            <a:ext uri="{FF2B5EF4-FFF2-40B4-BE49-F238E27FC236}">
              <a16:creationId xmlns:a16="http://schemas.microsoft.com/office/drawing/2014/main" id="{4D8ED430-227C-47B5-B2CD-59BA936D0E1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00" name="AutoShape 2">
          <a:extLst>
            <a:ext uri="{FF2B5EF4-FFF2-40B4-BE49-F238E27FC236}">
              <a16:creationId xmlns:a16="http://schemas.microsoft.com/office/drawing/2014/main" id="{318632DE-6821-4757-8744-3D57D1010A6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01" name="AutoShape 2">
          <a:extLst>
            <a:ext uri="{FF2B5EF4-FFF2-40B4-BE49-F238E27FC236}">
              <a16:creationId xmlns:a16="http://schemas.microsoft.com/office/drawing/2014/main" id="{987522C6-BC8E-4ECC-B545-9C25F88DE54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02" name="AutoShape 2">
          <a:extLst>
            <a:ext uri="{FF2B5EF4-FFF2-40B4-BE49-F238E27FC236}">
              <a16:creationId xmlns:a16="http://schemas.microsoft.com/office/drawing/2014/main" id="{CB71A853-E58A-4A78-A3C8-89CDA3E6662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03" name="AutoShape 2">
          <a:extLst>
            <a:ext uri="{FF2B5EF4-FFF2-40B4-BE49-F238E27FC236}">
              <a16:creationId xmlns:a16="http://schemas.microsoft.com/office/drawing/2014/main" id="{786D6344-257E-4CD9-8D79-8ED0CB87B06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04" name="AutoShape 2">
          <a:extLst>
            <a:ext uri="{FF2B5EF4-FFF2-40B4-BE49-F238E27FC236}">
              <a16:creationId xmlns:a16="http://schemas.microsoft.com/office/drawing/2014/main" id="{483C84EA-14D8-46EF-B103-E82BCF0D98C2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05" name="AutoShape 2">
          <a:extLst>
            <a:ext uri="{FF2B5EF4-FFF2-40B4-BE49-F238E27FC236}">
              <a16:creationId xmlns:a16="http://schemas.microsoft.com/office/drawing/2014/main" id="{7E26B94D-7D71-4381-ABEA-C00B2E07B8B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06" name="AutoShape 2">
          <a:extLst>
            <a:ext uri="{FF2B5EF4-FFF2-40B4-BE49-F238E27FC236}">
              <a16:creationId xmlns:a16="http://schemas.microsoft.com/office/drawing/2014/main" id="{2F849A4B-118D-4D9D-AF77-22817B4DBE8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07" name="AutoShape 2">
          <a:extLst>
            <a:ext uri="{FF2B5EF4-FFF2-40B4-BE49-F238E27FC236}">
              <a16:creationId xmlns:a16="http://schemas.microsoft.com/office/drawing/2014/main" id="{4A4D543C-73E8-4BE8-9169-1C453D028C8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08" name="AutoShape 2">
          <a:extLst>
            <a:ext uri="{FF2B5EF4-FFF2-40B4-BE49-F238E27FC236}">
              <a16:creationId xmlns:a16="http://schemas.microsoft.com/office/drawing/2014/main" id="{008F5972-57EF-4F19-865D-D782E969D92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09" name="AutoShape 2">
          <a:extLst>
            <a:ext uri="{FF2B5EF4-FFF2-40B4-BE49-F238E27FC236}">
              <a16:creationId xmlns:a16="http://schemas.microsoft.com/office/drawing/2014/main" id="{E8BC7941-75FF-4943-89D9-3871BD1F376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10" name="AutoShape 2">
          <a:extLst>
            <a:ext uri="{FF2B5EF4-FFF2-40B4-BE49-F238E27FC236}">
              <a16:creationId xmlns:a16="http://schemas.microsoft.com/office/drawing/2014/main" id="{5A7A1F4A-106D-4867-A974-D10CB4AF6FB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11" name="AutoShape 2">
          <a:extLst>
            <a:ext uri="{FF2B5EF4-FFF2-40B4-BE49-F238E27FC236}">
              <a16:creationId xmlns:a16="http://schemas.microsoft.com/office/drawing/2014/main" id="{CA74FD46-C144-4061-A7FE-D251FFD4B89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12" name="AutoShape 2">
          <a:extLst>
            <a:ext uri="{FF2B5EF4-FFF2-40B4-BE49-F238E27FC236}">
              <a16:creationId xmlns:a16="http://schemas.microsoft.com/office/drawing/2014/main" id="{0F495203-8571-488D-B546-AA1D6235060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13" name="AutoShape 2">
          <a:extLst>
            <a:ext uri="{FF2B5EF4-FFF2-40B4-BE49-F238E27FC236}">
              <a16:creationId xmlns:a16="http://schemas.microsoft.com/office/drawing/2014/main" id="{C674942E-D1B9-4A24-BBC0-C03C0C59E26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14" name="AutoShape 2">
          <a:extLst>
            <a:ext uri="{FF2B5EF4-FFF2-40B4-BE49-F238E27FC236}">
              <a16:creationId xmlns:a16="http://schemas.microsoft.com/office/drawing/2014/main" id="{950158B3-04E0-4C02-A625-FF9C5F79E9C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15" name="AutoShape 2">
          <a:extLst>
            <a:ext uri="{FF2B5EF4-FFF2-40B4-BE49-F238E27FC236}">
              <a16:creationId xmlns:a16="http://schemas.microsoft.com/office/drawing/2014/main" id="{5A6C9E03-C13D-4850-BE30-E3307124E65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16" name="AutoShape 2">
          <a:extLst>
            <a:ext uri="{FF2B5EF4-FFF2-40B4-BE49-F238E27FC236}">
              <a16:creationId xmlns:a16="http://schemas.microsoft.com/office/drawing/2014/main" id="{6CCE7DB8-839F-4CAF-A705-8F5C6929A25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17" name="AutoShape 2">
          <a:extLst>
            <a:ext uri="{FF2B5EF4-FFF2-40B4-BE49-F238E27FC236}">
              <a16:creationId xmlns:a16="http://schemas.microsoft.com/office/drawing/2014/main" id="{E8C456F1-68F8-4F49-AAAA-5B163907AB62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18" name="AutoShape 2">
          <a:extLst>
            <a:ext uri="{FF2B5EF4-FFF2-40B4-BE49-F238E27FC236}">
              <a16:creationId xmlns:a16="http://schemas.microsoft.com/office/drawing/2014/main" id="{F7D2C88F-7580-4D06-8D98-F32D950F534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19" name="AutoShape 2">
          <a:extLst>
            <a:ext uri="{FF2B5EF4-FFF2-40B4-BE49-F238E27FC236}">
              <a16:creationId xmlns:a16="http://schemas.microsoft.com/office/drawing/2014/main" id="{1F68B4F0-6610-442A-AB80-8AF0692977B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20" name="AutoShape 2">
          <a:extLst>
            <a:ext uri="{FF2B5EF4-FFF2-40B4-BE49-F238E27FC236}">
              <a16:creationId xmlns:a16="http://schemas.microsoft.com/office/drawing/2014/main" id="{90F2AC54-7459-4A8F-8BF2-5FDA1B3C23B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21" name="AutoShape 2">
          <a:extLst>
            <a:ext uri="{FF2B5EF4-FFF2-40B4-BE49-F238E27FC236}">
              <a16:creationId xmlns:a16="http://schemas.microsoft.com/office/drawing/2014/main" id="{C72C4B23-8ECF-4E76-9DBF-9DE60D45585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22" name="AutoShape 2">
          <a:extLst>
            <a:ext uri="{FF2B5EF4-FFF2-40B4-BE49-F238E27FC236}">
              <a16:creationId xmlns:a16="http://schemas.microsoft.com/office/drawing/2014/main" id="{C01D5C24-5445-4A1B-99C2-38F1AE0CE13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23" name="AutoShape 2">
          <a:extLst>
            <a:ext uri="{FF2B5EF4-FFF2-40B4-BE49-F238E27FC236}">
              <a16:creationId xmlns:a16="http://schemas.microsoft.com/office/drawing/2014/main" id="{28539F7A-4E84-440C-824C-2B8B25CACCE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24" name="AutoShape 2">
          <a:extLst>
            <a:ext uri="{FF2B5EF4-FFF2-40B4-BE49-F238E27FC236}">
              <a16:creationId xmlns:a16="http://schemas.microsoft.com/office/drawing/2014/main" id="{023C600D-13E6-4D60-97BB-B3E0DFD195B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25" name="AutoShape 2">
          <a:extLst>
            <a:ext uri="{FF2B5EF4-FFF2-40B4-BE49-F238E27FC236}">
              <a16:creationId xmlns:a16="http://schemas.microsoft.com/office/drawing/2014/main" id="{11222338-40D2-4E2F-9289-443E0BE5AE0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26" name="AutoShape 2">
          <a:extLst>
            <a:ext uri="{FF2B5EF4-FFF2-40B4-BE49-F238E27FC236}">
              <a16:creationId xmlns:a16="http://schemas.microsoft.com/office/drawing/2014/main" id="{17825920-F309-488C-8256-6143E3F0FB4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27" name="AutoShape 2">
          <a:extLst>
            <a:ext uri="{FF2B5EF4-FFF2-40B4-BE49-F238E27FC236}">
              <a16:creationId xmlns:a16="http://schemas.microsoft.com/office/drawing/2014/main" id="{2A77CE0E-100F-4143-89C1-AFACA0134FB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28" name="AutoShape 2">
          <a:extLst>
            <a:ext uri="{FF2B5EF4-FFF2-40B4-BE49-F238E27FC236}">
              <a16:creationId xmlns:a16="http://schemas.microsoft.com/office/drawing/2014/main" id="{5E4F5561-6D2F-4A59-AE6A-5E8E7770E1D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29" name="AutoShape 2">
          <a:extLst>
            <a:ext uri="{FF2B5EF4-FFF2-40B4-BE49-F238E27FC236}">
              <a16:creationId xmlns:a16="http://schemas.microsoft.com/office/drawing/2014/main" id="{9DE68006-B392-4E25-8E87-FF3F1339134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30" name="AutoShape 2">
          <a:extLst>
            <a:ext uri="{FF2B5EF4-FFF2-40B4-BE49-F238E27FC236}">
              <a16:creationId xmlns:a16="http://schemas.microsoft.com/office/drawing/2014/main" id="{7D05FF68-6CBD-418E-9840-702CC339E33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31" name="AutoShape 2">
          <a:extLst>
            <a:ext uri="{FF2B5EF4-FFF2-40B4-BE49-F238E27FC236}">
              <a16:creationId xmlns:a16="http://schemas.microsoft.com/office/drawing/2014/main" id="{26DFD28A-708D-4DF5-92CB-CC6B5A8BC16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32" name="AutoShape 2">
          <a:extLst>
            <a:ext uri="{FF2B5EF4-FFF2-40B4-BE49-F238E27FC236}">
              <a16:creationId xmlns:a16="http://schemas.microsoft.com/office/drawing/2014/main" id="{0DA178F8-C7B7-4312-B7CE-511F7FF5AA9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33" name="AutoShape 2">
          <a:extLst>
            <a:ext uri="{FF2B5EF4-FFF2-40B4-BE49-F238E27FC236}">
              <a16:creationId xmlns:a16="http://schemas.microsoft.com/office/drawing/2014/main" id="{6B79A215-6D67-4252-A3E6-B3B67D02F13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34" name="AutoShape 2">
          <a:extLst>
            <a:ext uri="{FF2B5EF4-FFF2-40B4-BE49-F238E27FC236}">
              <a16:creationId xmlns:a16="http://schemas.microsoft.com/office/drawing/2014/main" id="{0FD4BE41-B3A7-4E1C-8F3F-9F5261A7B34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35" name="AutoShape 2">
          <a:extLst>
            <a:ext uri="{FF2B5EF4-FFF2-40B4-BE49-F238E27FC236}">
              <a16:creationId xmlns:a16="http://schemas.microsoft.com/office/drawing/2014/main" id="{7E16D0DC-2082-4494-81BC-2293AC72689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36" name="AutoShape 2">
          <a:extLst>
            <a:ext uri="{FF2B5EF4-FFF2-40B4-BE49-F238E27FC236}">
              <a16:creationId xmlns:a16="http://schemas.microsoft.com/office/drawing/2014/main" id="{0E45E354-020D-41D4-B835-F7F93A8A270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37" name="AutoShape 2">
          <a:extLst>
            <a:ext uri="{FF2B5EF4-FFF2-40B4-BE49-F238E27FC236}">
              <a16:creationId xmlns:a16="http://schemas.microsoft.com/office/drawing/2014/main" id="{76727C14-04A6-4BFD-A376-702261348FF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38" name="AutoShape 2">
          <a:extLst>
            <a:ext uri="{FF2B5EF4-FFF2-40B4-BE49-F238E27FC236}">
              <a16:creationId xmlns:a16="http://schemas.microsoft.com/office/drawing/2014/main" id="{F12AA793-8801-4B07-99C7-07B0A7AC3F5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39" name="AutoShape 2">
          <a:extLst>
            <a:ext uri="{FF2B5EF4-FFF2-40B4-BE49-F238E27FC236}">
              <a16:creationId xmlns:a16="http://schemas.microsoft.com/office/drawing/2014/main" id="{27653336-6010-46A5-AF10-B623916620F2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40" name="AutoShape 2">
          <a:extLst>
            <a:ext uri="{FF2B5EF4-FFF2-40B4-BE49-F238E27FC236}">
              <a16:creationId xmlns:a16="http://schemas.microsoft.com/office/drawing/2014/main" id="{F49ABE39-DFF0-4A2B-8594-01AB4EC76D7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41" name="AutoShape 2">
          <a:extLst>
            <a:ext uri="{FF2B5EF4-FFF2-40B4-BE49-F238E27FC236}">
              <a16:creationId xmlns:a16="http://schemas.microsoft.com/office/drawing/2014/main" id="{59FC74E9-2086-47CD-A2A1-BDA35BF282B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42" name="AutoShape 2">
          <a:extLst>
            <a:ext uri="{FF2B5EF4-FFF2-40B4-BE49-F238E27FC236}">
              <a16:creationId xmlns:a16="http://schemas.microsoft.com/office/drawing/2014/main" id="{343C4609-1AA3-4B60-A891-4671CF8C4CB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43" name="AutoShape 2">
          <a:extLst>
            <a:ext uri="{FF2B5EF4-FFF2-40B4-BE49-F238E27FC236}">
              <a16:creationId xmlns:a16="http://schemas.microsoft.com/office/drawing/2014/main" id="{B84BC9F9-F91C-4CAF-A34F-97A1F35DE54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44" name="AutoShape 2">
          <a:extLst>
            <a:ext uri="{FF2B5EF4-FFF2-40B4-BE49-F238E27FC236}">
              <a16:creationId xmlns:a16="http://schemas.microsoft.com/office/drawing/2014/main" id="{117071D9-1D6E-41EC-AA99-4EEDEDD1ABB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45" name="AutoShape 2">
          <a:extLst>
            <a:ext uri="{FF2B5EF4-FFF2-40B4-BE49-F238E27FC236}">
              <a16:creationId xmlns:a16="http://schemas.microsoft.com/office/drawing/2014/main" id="{D527FB05-A993-448A-AFA9-833CF47CCEC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46" name="AutoShape 2">
          <a:extLst>
            <a:ext uri="{FF2B5EF4-FFF2-40B4-BE49-F238E27FC236}">
              <a16:creationId xmlns:a16="http://schemas.microsoft.com/office/drawing/2014/main" id="{0B40C70A-264C-4F51-9CD3-66C311CC91A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47" name="AutoShape 2">
          <a:extLst>
            <a:ext uri="{FF2B5EF4-FFF2-40B4-BE49-F238E27FC236}">
              <a16:creationId xmlns:a16="http://schemas.microsoft.com/office/drawing/2014/main" id="{A6C105C7-2E96-4EC5-8F8C-97DD536E7FA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48" name="AutoShape 2">
          <a:extLst>
            <a:ext uri="{FF2B5EF4-FFF2-40B4-BE49-F238E27FC236}">
              <a16:creationId xmlns:a16="http://schemas.microsoft.com/office/drawing/2014/main" id="{84DB7969-DEFD-4445-96B3-3E8E6BA7108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49" name="AutoShape 2">
          <a:extLst>
            <a:ext uri="{FF2B5EF4-FFF2-40B4-BE49-F238E27FC236}">
              <a16:creationId xmlns:a16="http://schemas.microsoft.com/office/drawing/2014/main" id="{D539A3A6-7BB8-4AEB-93DD-4F106EEE809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50" name="AutoShape 2">
          <a:extLst>
            <a:ext uri="{FF2B5EF4-FFF2-40B4-BE49-F238E27FC236}">
              <a16:creationId xmlns:a16="http://schemas.microsoft.com/office/drawing/2014/main" id="{82E0EEE9-9A2E-48C4-A17A-1C276EC0A14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51" name="AutoShape 2">
          <a:extLst>
            <a:ext uri="{FF2B5EF4-FFF2-40B4-BE49-F238E27FC236}">
              <a16:creationId xmlns:a16="http://schemas.microsoft.com/office/drawing/2014/main" id="{5DCEEC95-7214-4F2E-9DAD-5E2F6A32E2B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52" name="AutoShape 2">
          <a:extLst>
            <a:ext uri="{FF2B5EF4-FFF2-40B4-BE49-F238E27FC236}">
              <a16:creationId xmlns:a16="http://schemas.microsoft.com/office/drawing/2014/main" id="{2DD28C21-78C4-4728-AD87-A9753112077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53" name="AutoShape 2">
          <a:extLst>
            <a:ext uri="{FF2B5EF4-FFF2-40B4-BE49-F238E27FC236}">
              <a16:creationId xmlns:a16="http://schemas.microsoft.com/office/drawing/2014/main" id="{015C7C95-D9B8-43B2-BB54-6ECD25A1A8E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54" name="AutoShape 2">
          <a:extLst>
            <a:ext uri="{FF2B5EF4-FFF2-40B4-BE49-F238E27FC236}">
              <a16:creationId xmlns:a16="http://schemas.microsoft.com/office/drawing/2014/main" id="{94B83D0F-F171-4067-B002-2FF78575442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55" name="AutoShape 2">
          <a:extLst>
            <a:ext uri="{FF2B5EF4-FFF2-40B4-BE49-F238E27FC236}">
              <a16:creationId xmlns:a16="http://schemas.microsoft.com/office/drawing/2014/main" id="{AD74F249-3CCC-4D05-BA9F-66D5AF23C06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56" name="AutoShape 2">
          <a:extLst>
            <a:ext uri="{FF2B5EF4-FFF2-40B4-BE49-F238E27FC236}">
              <a16:creationId xmlns:a16="http://schemas.microsoft.com/office/drawing/2014/main" id="{B40E375C-9EEC-4080-9942-8DC694F11C4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57" name="AutoShape 2">
          <a:extLst>
            <a:ext uri="{FF2B5EF4-FFF2-40B4-BE49-F238E27FC236}">
              <a16:creationId xmlns:a16="http://schemas.microsoft.com/office/drawing/2014/main" id="{AA6F14B3-8DE2-472B-A4FD-9C769276E34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58" name="AutoShape 2">
          <a:extLst>
            <a:ext uri="{FF2B5EF4-FFF2-40B4-BE49-F238E27FC236}">
              <a16:creationId xmlns:a16="http://schemas.microsoft.com/office/drawing/2014/main" id="{71DFB3CA-6F5E-4A7A-87DA-0D3639ACA55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59" name="AutoShape 2">
          <a:extLst>
            <a:ext uri="{FF2B5EF4-FFF2-40B4-BE49-F238E27FC236}">
              <a16:creationId xmlns:a16="http://schemas.microsoft.com/office/drawing/2014/main" id="{B36B42EB-1997-4286-809B-A901171EBD5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60" name="AutoShape 2">
          <a:extLst>
            <a:ext uri="{FF2B5EF4-FFF2-40B4-BE49-F238E27FC236}">
              <a16:creationId xmlns:a16="http://schemas.microsoft.com/office/drawing/2014/main" id="{4DF38B0B-86DE-4401-B6CD-86EBB182E61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61" name="AutoShape 2">
          <a:extLst>
            <a:ext uri="{FF2B5EF4-FFF2-40B4-BE49-F238E27FC236}">
              <a16:creationId xmlns:a16="http://schemas.microsoft.com/office/drawing/2014/main" id="{8477A1AB-05E9-4C30-888D-A7E1BDC9ABA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62" name="AutoShape 2">
          <a:extLst>
            <a:ext uri="{FF2B5EF4-FFF2-40B4-BE49-F238E27FC236}">
              <a16:creationId xmlns:a16="http://schemas.microsoft.com/office/drawing/2014/main" id="{CB11DF3C-9A2F-42FD-8826-18171038983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63" name="AutoShape 2">
          <a:extLst>
            <a:ext uri="{FF2B5EF4-FFF2-40B4-BE49-F238E27FC236}">
              <a16:creationId xmlns:a16="http://schemas.microsoft.com/office/drawing/2014/main" id="{7C5F2D84-31EC-452F-BA2C-1F8C647997E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64" name="AutoShape 2">
          <a:extLst>
            <a:ext uri="{FF2B5EF4-FFF2-40B4-BE49-F238E27FC236}">
              <a16:creationId xmlns:a16="http://schemas.microsoft.com/office/drawing/2014/main" id="{92586ED9-A322-404E-95B8-DBFF80F19EF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65" name="AutoShape 2">
          <a:extLst>
            <a:ext uri="{FF2B5EF4-FFF2-40B4-BE49-F238E27FC236}">
              <a16:creationId xmlns:a16="http://schemas.microsoft.com/office/drawing/2014/main" id="{0FCCEC18-5624-4C9C-836A-40291A4CC8D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66" name="AutoShape 2">
          <a:extLst>
            <a:ext uri="{FF2B5EF4-FFF2-40B4-BE49-F238E27FC236}">
              <a16:creationId xmlns:a16="http://schemas.microsoft.com/office/drawing/2014/main" id="{01787C1A-710B-4751-A34D-B6ECCD614E1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67" name="AutoShape 2">
          <a:extLst>
            <a:ext uri="{FF2B5EF4-FFF2-40B4-BE49-F238E27FC236}">
              <a16:creationId xmlns:a16="http://schemas.microsoft.com/office/drawing/2014/main" id="{8D36AEDF-C74F-4016-AC01-69DCA5BCF81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68" name="AutoShape 2">
          <a:extLst>
            <a:ext uri="{FF2B5EF4-FFF2-40B4-BE49-F238E27FC236}">
              <a16:creationId xmlns:a16="http://schemas.microsoft.com/office/drawing/2014/main" id="{93E46B50-34CA-41EE-A167-0FDD9078B71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69" name="AutoShape 2">
          <a:extLst>
            <a:ext uri="{FF2B5EF4-FFF2-40B4-BE49-F238E27FC236}">
              <a16:creationId xmlns:a16="http://schemas.microsoft.com/office/drawing/2014/main" id="{A8342548-F683-4DA0-9A78-6691F27A4A8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70" name="AutoShape 2">
          <a:extLst>
            <a:ext uri="{FF2B5EF4-FFF2-40B4-BE49-F238E27FC236}">
              <a16:creationId xmlns:a16="http://schemas.microsoft.com/office/drawing/2014/main" id="{BCA0FC84-F2CD-40C9-A710-A34C40B6E11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71" name="AutoShape 2">
          <a:extLst>
            <a:ext uri="{FF2B5EF4-FFF2-40B4-BE49-F238E27FC236}">
              <a16:creationId xmlns:a16="http://schemas.microsoft.com/office/drawing/2014/main" id="{5F78B450-51F3-4B25-B86F-27C606839AE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72" name="AutoShape 2">
          <a:extLst>
            <a:ext uri="{FF2B5EF4-FFF2-40B4-BE49-F238E27FC236}">
              <a16:creationId xmlns:a16="http://schemas.microsoft.com/office/drawing/2014/main" id="{3A7CB4CA-2557-4D3D-97E8-F07F412DDED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73" name="AutoShape 2">
          <a:extLst>
            <a:ext uri="{FF2B5EF4-FFF2-40B4-BE49-F238E27FC236}">
              <a16:creationId xmlns:a16="http://schemas.microsoft.com/office/drawing/2014/main" id="{7241EB3B-4F29-4715-AFAA-42B8049871E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74" name="AutoShape 2">
          <a:extLst>
            <a:ext uri="{FF2B5EF4-FFF2-40B4-BE49-F238E27FC236}">
              <a16:creationId xmlns:a16="http://schemas.microsoft.com/office/drawing/2014/main" id="{049B8042-F1D2-497F-B43F-C4931A4EE70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75" name="AutoShape 2">
          <a:extLst>
            <a:ext uri="{FF2B5EF4-FFF2-40B4-BE49-F238E27FC236}">
              <a16:creationId xmlns:a16="http://schemas.microsoft.com/office/drawing/2014/main" id="{EEEC12BF-E652-44F1-A708-BE211950B56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76" name="AutoShape 2">
          <a:extLst>
            <a:ext uri="{FF2B5EF4-FFF2-40B4-BE49-F238E27FC236}">
              <a16:creationId xmlns:a16="http://schemas.microsoft.com/office/drawing/2014/main" id="{46538991-E5EF-4B3E-BE1E-D1DB545B53C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77" name="AutoShape 2">
          <a:extLst>
            <a:ext uri="{FF2B5EF4-FFF2-40B4-BE49-F238E27FC236}">
              <a16:creationId xmlns:a16="http://schemas.microsoft.com/office/drawing/2014/main" id="{6872BD1F-D1DF-49D9-A4EB-CE96EAD9D8E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78" name="AutoShape 2">
          <a:extLst>
            <a:ext uri="{FF2B5EF4-FFF2-40B4-BE49-F238E27FC236}">
              <a16:creationId xmlns:a16="http://schemas.microsoft.com/office/drawing/2014/main" id="{BE7F6F54-2A43-4E64-BCEF-9C711FE59AE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79" name="AutoShape 2">
          <a:extLst>
            <a:ext uri="{FF2B5EF4-FFF2-40B4-BE49-F238E27FC236}">
              <a16:creationId xmlns:a16="http://schemas.microsoft.com/office/drawing/2014/main" id="{A5B506BA-F505-4DFA-AED2-9E591BCE97D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80" name="AutoShape 2">
          <a:extLst>
            <a:ext uri="{FF2B5EF4-FFF2-40B4-BE49-F238E27FC236}">
              <a16:creationId xmlns:a16="http://schemas.microsoft.com/office/drawing/2014/main" id="{ED60196E-CAAD-4C73-AFB1-6F71F9481AE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81" name="AutoShape 2">
          <a:extLst>
            <a:ext uri="{FF2B5EF4-FFF2-40B4-BE49-F238E27FC236}">
              <a16:creationId xmlns:a16="http://schemas.microsoft.com/office/drawing/2014/main" id="{FA229E63-BA8D-4ACB-976C-9E14CC2E160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82" name="AutoShape 2">
          <a:extLst>
            <a:ext uri="{FF2B5EF4-FFF2-40B4-BE49-F238E27FC236}">
              <a16:creationId xmlns:a16="http://schemas.microsoft.com/office/drawing/2014/main" id="{91D3B50D-D249-492F-BF4B-8401ADBCC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83" name="AutoShape 2">
          <a:extLst>
            <a:ext uri="{FF2B5EF4-FFF2-40B4-BE49-F238E27FC236}">
              <a16:creationId xmlns:a16="http://schemas.microsoft.com/office/drawing/2014/main" id="{A9C59152-5BEB-4A49-B7BA-537B8A2B9BA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84" name="AutoShape 2">
          <a:extLst>
            <a:ext uri="{FF2B5EF4-FFF2-40B4-BE49-F238E27FC236}">
              <a16:creationId xmlns:a16="http://schemas.microsoft.com/office/drawing/2014/main" id="{37C41A1C-98F1-40BB-A0DB-FA2EFF88F2F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85" name="AutoShape 2">
          <a:extLst>
            <a:ext uri="{FF2B5EF4-FFF2-40B4-BE49-F238E27FC236}">
              <a16:creationId xmlns:a16="http://schemas.microsoft.com/office/drawing/2014/main" id="{1154F903-59A6-4498-916A-D1DF8444C8C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86" name="AutoShape 2">
          <a:extLst>
            <a:ext uri="{FF2B5EF4-FFF2-40B4-BE49-F238E27FC236}">
              <a16:creationId xmlns:a16="http://schemas.microsoft.com/office/drawing/2014/main" id="{F1C418F5-7BA4-44CF-A500-1E2D2422EBC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87" name="AutoShape 2">
          <a:extLst>
            <a:ext uri="{FF2B5EF4-FFF2-40B4-BE49-F238E27FC236}">
              <a16:creationId xmlns:a16="http://schemas.microsoft.com/office/drawing/2014/main" id="{51F58209-D34F-4E36-867C-1BEE08E42F9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88" name="AutoShape 2">
          <a:extLst>
            <a:ext uri="{FF2B5EF4-FFF2-40B4-BE49-F238E27FC236}">
              <a16:creationId xmlns:a16="http://schemas.microsoft.com/office/drawing/2014/main" id="{73B9170E-7DE4-4AA4-8800-C7C1CD35D86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89" name="AutoShape 2">
          <a:extLst>
            <a:ext uri="{FF2B5EF4-FFF2-40B4-BE49-F238E27FC236}">
              <a16:creationId xmlns:a16="http://schemas.microsoft.com/office/drawing/2014/main" id="{0707BABE-B19B-43F5-B864-DE55A7BA7BE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90" name="AutoShape 2">
          <a:extLst>
            <a:ext uri="{FF2B5EF4-FFF2-40B4-BE49-F238E27FC236}">
              <a16:creationId xmlns:a16="http://schemas.microsoft.com/office/drawing/2014/main" id="{17A24374-7C69-4D16-9E01-A98B328AC6C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91" name="AutoShape 2">
          <a:extLst>
            <a:ext uri="{FF2B5EF4-FFF2-40B4-BE49-F238E27FC236}">
              <a16:creationId xmlns:a16="http://schemas.microsoft.com/office/drawing/2014/main" id="{3817C4A2-4685-41BD-AAEF-8E6472E1099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92" name="AutoShape 2">
          <a:extLst>
            <a:ext uri="{FF2B5EF4-FFF2-40B4-BE49-F238E27FC236}">
              <a16:creationId xmlns:a16="http://schemas.microsoft.com/office/drawing/2014/main" id="{6C0C2D6C-3068-4F5C-89C5-5E2E60C9596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93" name="AutoShape 2">
          <a:extLst>
            <a:ext uri="{FF2B5EF4-FFF2-40B4-BE49-F238E27FC236}">
              <a16:creationId xmlns:a16="http://schemas.microsoft.com/office/drawing/2014/main" id="{DB5F1E60-8DBD-4200-81CA-6D4C0CC1DB3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94" name="AutoShape 2">
          <a:extLst>
            <a:ext uri="{FF2B5EF4-FFF2-40B4-BE49-F238E27FC236}">
              <a16:creationId xmlns:a16="http://schemas.microsoft.com/office/drawing/2014/main" id="{29BDE8B2-755D-49CD-B0DE-EE1869F3B70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95" name="AutoShape 2">
          <a:extLst>
            <a:ext uri="{FF2B5EF4-FFF2-40B4-BE49-F238E27FC236}">
              <a16:creationId xmlns:a16="http://schemas.microsoft.com/office/drawing/2014/main" id="{2B178DFC-0C6C-4A03-ABDA-5FDEFD44E42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96" name="AutoShape 2">
          <a:extLst>
            <a:ext uri="{FF2B5EF4-FFF2-40B4-BE49-F238E27FC236}">
              <a16:creationId xmlns:a16="http://schemas.microsoft.com/office/drawing/2014/main" id="{5994EB82-513D-4079-81DD-8247134CD7C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97" name="AutoShape 2">
          <a:extLst>
            <a:ext uri="{FF2B5EF4-FFF2-40B4-BE49-F238E27FC236}">
              <a16:creationId xmlns:a16="http://schemas.microsoft.com/office/drawing/2014/main" id="{58B99C3D-474D-4155-9D3C-32225AEF7D4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98" name="AutoShape 2">
          <a:extLst>
            <a:ext uri="{FF2B5EF4-FFF2-40B4-BE49-F238E27FC236}">
              <a16:creationId xmlns:a16="http://schemas.microsoft.com/office/drawing/2014/main" id="{374374C7-1AB0-4D0B-AD6D-D01A96A296C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99" name="AutoShape 2">
          <a:extLst>
            <a:ext uri="{FF2B5EF4-FFF2-40B4-BE49-F238E27FC236}">
              <a16:creationId xmlns:a16="http://schemas.microsoft.com/office/drawing/2014/main" id="{DC6C584C-6FAA-475D-A4B1-17C5D3C94D5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00" name="AutoShape 2">
          <a:extLst>
            <a:ext uri="{FF2B5EF4-FFF2-40B4-BE49-F238E27FC236}">
              <a16:creationId xmlns:a16="http://schemas.microsoft.com/office/drawing/2014/main" id="{1C866011-DEA0-4D4A-AD17-9C2D8A220B1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01" name="AutoShape 2">
          <a:extLst>
            <a:ext uri="{FF2B5EF4-FFF2-40B4-BE49-F238E27FC236}">
              <a16:creationId xmlns:a16="http://schemas.microsoft.com/office/drawing/2014/main" id="{F45E9B42-14E4-486C-BD97-82C67909366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02" name="AutoShape 2">
          <a:extLst>
            <a:ext uri="{FF2B5EF4-FFF2-40B4-BE49-F238E27FC236}">
              <a16:creationId xmlns:a16="http://schemas.microsoft.com/office/drawing/2014/main" id="{BE0F9B59-6190-470A-BE27-3F2C6D68EB8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03" name="AutoShape 2">
          <a:extLst>
            <a:ext uri="{FF2B5EF4-FFF2-40B4-BE49-F238E27FC236}">
              <a16:creationId xmlns:a16="http://schemas.microsoft.com/office/drawing/2014/main" id="{812FC2D1-6D9C-4715-9ACD-495C0B5EAB2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04" name="AutoShape 2">
          <a:extLst>
            <a:ext uri="{FF2B5EF4-FFF2-40B4-BE49-F238E27FC236}">
              <a16:creationId xmlns:a16="http://schemas.microsoft.com/office/drawing/2014/main" id="{8E3DD301-E913-48C8-B722-35AEAB96ED4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05" name="AutoShape 2">
          <a:extLst>
            <a:ext uri="{FF2B5EF4-FFF2-40B4-BE49-F238E27FC236}">
              <a16:creationId xmlns:a16="http://schemas.microsoft.com/office/drawing/2014/main" id="{CD6A5707-BD00-467F-9F0A-7B2C26F19A8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06" name="AutoShape 2">
          <a:extLst>
            <a:ext uri="{FF2B5EF4-FFF2-40B4-BE49-F238E27FC236}">
              <a16:creationId xmlns:a16="http://schemas.microsoft.com/office/drawing/2014/main" id="{991BE90B-BC46-48AA-A59D-353A90EEE6F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07" name="AutoShape 2">
          <a:extLst>
            <a:ext uri="{FF2B5EF4-FFF2-40B4-BE49-F238E27FC236}">
              <a16:creationId xmlns:a16="http://schemas.microsoft.com/office/drawing/2014/main" id="{C469BBD1-3A8B-40B7-B805-EBE6BEFABBA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08" name="AutoShape 2">
          <a:extLst>
            <a:ext uri="{FF2B5EF4-FFF2-40B4-BE49-F238E27FC236}">
              <a16:creationId xmlns:a16="http://schemas.microsoft.com/office/drawing/2014/main" id="{3B240776-CC88-44D3-A26A-8DCAF830A9C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09" name="AutoShape 2">
          <a:extLst>
            <a:ext uri="{FF2B5EF4-FFF2-40B4-BE49-F238E27FC236}">
              <a16:creationId xmlns:a16="http://schemas.microsoft.com/office/drawing/2014/main" id="{8F6F5892-77A5-4D96-B262-838C7B9F890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10" name="AutoShape 2">
          <a:extLst>
            <a:ext uri="{FF2B5EF4-FFF2-40B4-BE49-F238E27FC236}">
              <a16:creationId xmlns:a16="http://schemas.microsoft.com/office/drawing/2014/main" id="{2885C7B6-94B6-4631-B21A-EE2C2FDB53A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11" name="AutoShape 2">
          <a:extLst>
            <a:ext uri="{FF2B5EF4-FFF2-40B4-BE49-F238E27FC236}">
              <a16:creationId xmlns:a16="http://schemas.microsoft.com/office/drawing/2014/main" id="{5D320B29-A2C6-43AB-BA1D-69565BF95A2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12" name="AutoShape 2">
          <a:extLst>
            <a:ext uri="{FF2B5EF4-FFF2-40B4-BE49-F238E27FC236}">
              <a16:creationId xmlns:a16="http://schemas.microsoft.com/office/drawing/2014/main" id="{D54D51AE-0AB6-4D84-930C-33C454AF5C7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13" name="AutoShape 2">
          <a:extLst>
            <a:ext uri="{FF2B5EF4-FFF2-40B4-BE49-F238E27FC236}">
              <a16:creationId xmlns:a16="http://schemas.microsoft.com/office/drawing/2014/main" id="{39B31BC7-2DDF-44F4-A62A-C1262BB9A22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14" name="AutoShape 2">
          <a:extLst>
            <a:ext uri="{FF2B5EF4-FFF2-40B4-BE49-F238E27FC236}">
              <a16:creationId xmlns:a16="http://schemas.microsoft.com/office/drawing/2014/main" id="{C93349C5-FB83-4E9D-9C3E-9BB926A2CB9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15" name="AutoShape 2">
          <a:extLst>
            <a:ext uri="{FF2B5EF4-FFF2-40B4-BE49-F238E27FC236}">
              <a16:creationId xmlns:a16="http://schemas.microsoft.com/office/drawing/2014/main" id="{02E0C9C7-7B23-46AB-8D7D-760275305E12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16" name="AutoShape 2">
          <a:extLst>
            <a:ext uri="{FF2B5EF4-FFF2-40B4-BE49-F238E27FC236}">
              <a16:creationId xmlns:a16="http://schemas.microsoft.com/office/drawing/2014/main" id="{FFA86179-D4A9-4171-AF55-DBAB7B9D402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17" name="AutoShape 2">
          <a:extLst>
            <a:ext uri="{FF2B5EF4-FFF2-40B4-BE49-F238E27FC236}">
              <a16:creationId xmlns:a16="http://schemas.microsoft.com/office/drawing/2014/main" id="{D2F98A81-45DA-412F-96FE-EC278EB1F58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18" name="AutoShape 2">
          <a:extLst>
            <a:ext uri="{FF2B5EF4-FFF2-40B4-BE49-F238E27FC236}">
              <a16:creationId xmlns:a16="http://schemas.microsoft.com/office/drawing/2014/main" id="{B2AF7FAA-2D34-4D9B-BD81-5782477C6CA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19" name="AutoShape 2">
          <a:extLst>
            <a:ext uri="{FF2B5EF4-FFF2-40B4-BE49-F238E27FC236}">
              <a16:creationId xmlns:a16="http://schemas.microsoft.com/office/drawing/2014/main" id="{49292AD2-2681-4176-9981-139631A1007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20" name="AutoShape 2">
          <a:extLst>
            <a:ext uri="{FF2B5EF4-FFF2-40B4-BE49-F238E27FC236}">
              <a16:creationId xmlns:a16="http://schemas.microsoft.com/office/drawing/2014/main" id="{D4E5A90E-4843-4AB1-99C3-FC9DC2DB66A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21" name="AutoShape 2">
          <a:extLst>
            <a:ext uri="{FF2B5EF4-FFF2-40B4-BE49-F238E27FC236}">
              <a16:creationId xmlns:a16="http://schemas.microsoft.com/office/drawing/2014/main" id="{EB3558CF-5759-417E-9B86-4B094E59AD3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22" name="AutoShape 2">
          <a:extLst>
            <a:ext uri="{FF2B5EF4-FFF2-40B4-BE49-F238E27FC236}">
              <a16:creationId xmlns:a16="http://schemas.microsoft.com/office/drawing/2014/main" id="{4BF23321-45B4-4740-96E0-9C2C2FDD6C1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23" name="AutoShape 2">
          <a:extLst>
            <a:ext uri="{FF2B5EF4-FFF2-40B4-BE49-F238E27FC236}">
              <a16:creationId xmlns:a16="http://schemas.microsoft.com/office/drawing/2014/main" id="{974DFD26-1844-4300-B9C5-6690575C050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24" name="AutoShape 2">
          <a:extLst>
            <a:ext uri="{FF2B5EF4-FFF2-40B4-BE49-F238E27FC236}">
              <a16:creationId xmlns:a16="http://schemas.microsoft.com/office/drawing/2014/main" id="{A5C65AA4-EB37-499D-9999-F37C32DB4C2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25" name="AutoShape 2">
          <a:extLst>
            <a:ext uri="{FF2B5EF4-FFF2-40B4-BE49-F238E27FC236}">
              <a16:creationId xmlns:a16="http://schemas.microsoft.com/office/drawing/2014/main" id="{6A7DA6D7-F36B-4009-AF57-6BD218440DC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26" name="AutoShape 2">
          <a:extLst>
            <a:ext uri="{FF2B5EF4-FFF2-40B4-BE49-F238E27FC236}">
              <a16:creationId xmlns:a16="http://schemas.microsoft.com/office/drawing/2014/main" id="{F38FE93E-FBAF-4363-A790-D0B28BD92EE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27" name="AutoShape 2">
          <a:extLst>
            <a:ext uri="{FF2B5EF4-FFF2-40B4-BE49-F238E27FC236}">
              <a16:creationId xmlns:a16="http://schemas.microsoft.com/office/drawing/2014/main" id="{598DC49D-F80D-4D62-AD76-0D8FE4BECD9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28" name="AutoShape 2">
          <a:extLst>
            <a:ext uri="{FF2B5EF4-FFF2-40B4-BE49-F238E27FC236}">
              <a16:creationId xmlns:a16="http://schemas.microsoft.com/office/drawing/2014/main" id="{64BD90AA-6F9F-4838-85A7-3C72DCEA707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29" name="AutoShape 2">
          <a:extLst>
            <a:ext uri="{FF2B5EF4-FFF2-40B4-BE49-F238E27FC236}">
              <a16:creationId xmlns:a16="http://schemas.microsoft.com/office/drawing/2014/main" id="{58F12722-7913-421A-AD2F-131C9C06CEC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30" name="AutoShape 2">
          <a:extLst>
            <a:ext uri="{FF2B5EF4-FFF2-40B4-BE49-F238E27FC236}">
              <a16:creationId xmlns:a16="http://schemas.microsoft.com/office/drawing/2014/main" id="{BF4B4878-6243-4D18-8955-4C6966A6F0C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31" name="AutoShape 2">
          <a:extLst>
            <a:ext uri="{FF2B5EF4-FFF2-40B4-BE49-F238E27FC236}">
              <a16:creationId xmlns:a16="http://schemas.microsoft.com/office/drawing/2014/main" id="{ADF67CC8-A7B8-456E-B5B6-795B88F8C59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32" name="AutoShape 2">
          <a:extLst>
            <a:ext uri="{FF2B5EF4-FFF2-40B4-BE49-F238E27FC236}">
              <a16:creationId xmlns:a16="http://schemas.microsoft.com/office/drawing/2014/main" id="{11590C56-77CA-4602-BB56-016FA9AF15D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33" name="AutoShape 2">
          <a:extLst>
            <a:ext uri="{FF2B5EF4-FFF2-40B4-BE49-F238E27FC236}">
              <a16:creationId xmlns:a16="http://schemas.microsoft.com/office/drawing/2014/main" id="{0C6054B2-0196-4D77-8553-F8034C301B8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34" name="AutoShape 2">
          <a:extLst>
            <a:ext uri="{FF2B5EF4-FFF2-40B4-BE49-F238E27FC236}">
              <a16:creationId xmlns:a16="http://schemas.microsoft.com/office/drawing/2014/main" id="{533349BC-3E34-4542-87C8-351F4D56804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35" name="AutoShape 2">
          <a:extLst>
            <a:ext uri="{FF2B5EF4-FFF2-40B4-BE49-F238E27FC236}">
              <a16:creationId xmlns:a16="http://schemas.microsoft.com/office/drawing/2014/main" id="{2D993F4E-BFF1-4F56-959F-6AB886CCB8E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36" name="AutoShape 2">
          <a:extLst>
            <a:ext uri="{FF2B5EF4-FFF2-40B4-BE49-F238E27FC236}">
              <a16:creationId xmlns:a16="http://schemas.microsoft.com/office/drawing/2014/main" id="{8DF53363-A693-40E9-A6B3-225B3996DFF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37" name="AutoShape 2">
          <a:extLst>
            <a:ext uri="{FF2B5EF4-FFF2-40B4-BE49-F238E27FC236}">
              <a16:creationId xmlns:a16="http://schemas.microsoft.com/office/drawing/2014/main" id="{3095899D-8DFD-48FF-96D8-435737265D0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38" name="AutoShape 2">
          <a:extLst>
            <a:ext uri="{FF2B5EF4-FFF2-40B4-BE49-F238E27FC236}">
              <a16:creationId xmlns:a16="http://schemas.microsoft.com/office/drawing/2014/main" id="{5F901F5E-87A3-4BCD-BFCD-32509CD9BA0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39" name="AutoShape 2">
          <a:extLst>
            <a:ext uri="{FF2B5EF4-FFF2-40B4-BE49-F238E27FC236}">
              <a16:creationId xmlns:a16="http://schemas.microsoft.com/office/drawing/2014/main" id="{A6ED790C-2AE3-441A-9366-0EFB0542871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40" name="AutoShape 2">
          <a:extLst>
            <a:ext uri="{FF2B5EF4-FFF2-40B4-BE49-F238E27FC236}">
              <a16:creationId xmlns:a16="http://schemas.microsoft.com/office/drawing/2014/main" id="{9792E7EB-1A05-41E5-9BCC-3B91AFE617B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41" name="AutoShape 2">
          <a:extLst>
            <a:ext uri="{FF2B5EF4-FFF2-40B4-BE49-F238E27FC236}">
              <a16:creationId xmlns:a16="http://schemas.microsoft.com/office/drawing/2014/main" id="{3B10256B-34DF-41E7-8F8E-964DF34EAC7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42" name="AutoShape 2">
          <a:extLst>
            <a:ext uri="{FF2B5EF4-FFF2-40B4-BE49-F238E27FC236}">
              <a16:creationId xmlns:a16="http://schemas.microsoft.com/office/drawing/2014/main" id="{93E6B0A1-FC2C-45D4-A653-49F7E99D5D9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43" name="AutoShape 2">
          <a:extLst>
            <a:ext uri="{FF2B5EF4-FFF2-40B4-BE49-F238E27FC236}">
              <a16:creationId xmlns:a16="http://schemas.microsoft.com/office/drawing/2014/main" id="{183184C2-F8C3-45B7-83F3-47355EC681E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44" name="AutoShape 2">
          <a:extLst>
            <a:ext uri="{FF2B5EF4-FFF2-40B4-BE49-F238E27FC236}">
              <a16:creationId xmlns:a16="http://schemas.microsoft.com/office/drawing/2014/main" id="{5B7D958F-B5EF-45E3-B473-F347D4B6940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45" name="AutoShape 2">
          <a:extLst>
            <a:ext uri="{FF2B5EF4-FFF2-40B4-BE49-F238E27FC236}">
              <a16:creationId xmlns:a16="http://schemas.microsoft.com/office/drawing/2014/main" id="{7BAD136A-325E-4831-BB62-C4D45ADD0E7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46" name="AutoShape 2">
          <a:extLst>
            <a:ext uri="{FF2B5EF4-FFF2-40B4-BE49-F238E27FC236}">
              <a16:creationId xmlns:a16="http://schemas.microsoft.com/office/drawing/2014/main" id="{1CBAFDFE-9A05-48A6-AEFC-8D052BD26A2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47" name="AutoShape 2">
          <a:extLst>
            <a:ext uri="{FF2B5EF4-FFF2-40B4-BE49-F238E27FC236}">
              <a16:creationId xmlns:a16="http://schemas.microsoft.com/office/drawing/2014/main" id="{B17FB7A2-160F-4881-88E7-81FB58C9573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48" name="AutoShape 2">
          <a:extLst>
            <a:ext uri="{FF2B5EF4-FFF2-40B4-BE49-F238E27FC236}">
              <a16:creationId xmlns:a16="http://schemas.microsoft.com/office/drawing/2014/main" id="{655180E4-CE9D-4C7F-90B7-BA46B008769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49" name="AutoShape 2">
          <a:extLst>
            <a:ext uri="{FF2B5EF4-FFF2-40B4-BE49-F238E27FC236}">
              <a16:creationId xmlns:a16="http://schemas.microsoft.com/office/drawing/2014/main" id="{A1C23181-98DC-4821-97D9-7F9D72A88B4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50" name="AutoShape 2">
          <a:extLst>
            <a:ext uri="{FF2B5EF4-FFF2-40B4-BE49-F238E27FC236}">
              <a16:creationId xmlns:a16="http://schemas.microsoft.com/office/drawing/2014/main" id="{D47C753B-4498-4D02-8988-21B6925837D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51" name="AutoShape 2">
          <a:extLst>
            <a:ext uri="{FF2B5EF4-FFF2-40B4-BE49-F238E27FC236}">
              <a16:creationId xmlns:a16="http://schemas.microsoft.com/office/drawing/2014/main" id="{9F4FA03D-B4D3-4B37-B839-281F3258C63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52" name="AutoShape 2">
          <a:extLst>
            <a:ext uri="{FF2B5EF4-FFF2-40B4-BE49-F238E27FC236}">
              <a16:creationId xmlns:a16="http://schemas.microsoft.com/office/drawing/2014/main" id="{5FB7AA0A-7608-48E0-8ACE-121301D3A90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53" name="AutoShape 2">
          <a:extLst>
            <a:ext uri="{FF2B5EF4-FFF2-40B4-BE49-F238E27FC236}">
              <a16:creationId xmlns:a16="http://schemas.microsoft.com/office/drawing/2014/main" id="{26ACD664-5D18-4BAF-9702-B09B9E21009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54" name="AutoShape 2">
          <a:extLst>
            <a:ext uri="{FF2B5EF4-FFF2-40B4-BE49-F238E27FC236}">
              <a16:creationId xmlns:a16="http://schemas.microsoft.com/office/drawing/2014/main" id="{47E0E136-A54A-47A3-810B-7B72B84B3D5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55" name="AutoShape 2">
          <a:extLst>
            <a:ext uri="{FF2B5EF4-FFF2-40B4-BE49-F238E27FC236}">
              <a16:creationId xmlns:a16="http://schemas.microsoft.com/office/drawing/2014/main" id="{AF60859C-D932-40DA-81C8-A0951C39D36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56" name="AutoShape 2">
          <a:extLst>
            <a:ext uri="{FF2B5EF4-FFF2-40B4-BE49-F238E27FC236}">
              <a16:creationId xmlns:a16="http://schemas.microsoft.com/office/drawing/2014/main" id="{8DE1DD98-DE53-44E3-91C4-314798AA1EF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57" name="AutoShape 2">
          <a:extLst>
            <a:ext uri="{FF2B5EF4-FFF2-40B4-BE49-F238E27FC236}">
              <a16:creationId xmlns:a16="http://schemas.microsoft.com/office/drawing/2014/main" id="{F4262FFA-AC6B-4E3F-83FA-AC375B99BE7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58" name="AutoShape 2">
          <a:extLst>
            <a:ext uri="{FF2B5EF4-FFF2-40B4-BE49-F238E27FC236}">
              <a16:creationId xmlns:a16="http://schemas.microsoft.com/office/drawing/2014/main" id="{41C34DCA-A0C2-4710-8D35-A8FE9C69A80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59" name="AutoShape 2">
          <a:extLst>
            <a:ext uri="{FF2B5EF4-FFF2-40B4-BE49-F238E27FC236}">
              <a16:creationId xmlns:a16="http://schemas.microsoft.com/office/drawing/2014/main" id="{460015E1-44D2-4EAB-8946-EA7FAFC64A8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60" name="AutoShape 2">
          <a:extLst>
            <a:ext uri="{FF2B5EF4-FFF2-40B4-BE49-F238E27FC236}">
              <a16:creationId xmlns:a16="http://schemas.microsoft.com/office/drawing/2014/main" id="{E4E54A9D-A6D8-4E00-99D9-6D4506810C5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61" name="AutoShape 2">
          <a:extLst>
            <a:ext uri="{FF2B5EF4-FFF2-40B4-BE49-F238E27FC236}">
              <a16:creationId xmlns:a16="http://schemas.microsoft.com/office/drawing/2014/main" id="{8DE95668-E99B-4531-8869-E3B8889C2CB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62" name="AutoShape 2">
          <a:extLst>
            <a:ext uri="{FF2B5EF4-FFF2-40B4-BE49-F238E27FC236}">
              <a16:creationId xmlns:a16="http://schemas.microsoft.com/office/drawing/2014/main" id="{F18398AD-25BA-46F2-A7E8-4344AF215FB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63" name="AutoShape 2">
          <a:extLst>
            <a:ext uri="{FF2B5EF4-FFF2-40B4-BE49-F238E27FC236}">
              <a16:creationId xmlns:a16="http://schemas.microsoft.com/office/drawing/2014/main" id="{E5F55EB5-678A-4E31-9DD4-8BDE37EB85E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64" name="AutoShape 2">
          <a:extLst>
            <a:ext uri="{FF2B5EF4-FFF2-40B4-BE49-F238E27FC236}">
              <a16:creationId xmlns:a16="http://schemas.microsoft.com/office/drawing/2014/main" id="{AE71EFDE-284C-4000-8AF4-51E41F500C4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65" name="AutoShape 2">
          <a:extLst>
            <a:ext uri="{FF2B5EF4-FFF2-40B4-BE49-F238E27FC236}">
              <a16:creationId xmlns:a16="http://schemas.microsoft.com/office/drawing/2014/main" id="{95DE3C14-0C72-4614-A4EA-3D5D5FC296A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66" name="AutoShape 2">
          <a:extLst>
            <a:ext uri="{FF2B5EF4-FFF2-40B4-BE49-F238E27FC236}">
              <a16:creationId xmlns:a16="http://schemas.microsoft.com/office/drawing/2014/main" id="{0D40788A-3075-4549-92EC-5D8E4F0D968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67" name="AutoShape 2">
          <a:extLst>
            <a:ext uri="{FF2B5EF4-FFF2-40B4-BE49-F238E27FC236}">
              <a16:creationId xmlns:a16="http://schemas.microsoft.com/office/drawing/2014/main" id="{BECD5AFE-1270-4BAD-A15E-8005F4FD40F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68" name="AutoShape 2">
          <a:extLst>
            <a:ext uri="{FF2B5EF4-FFF2-40B4-BE49-F238E27FC236}">
              <a16:creationId xmlns:a16="http://schemas.microsoft.com/office/drawing/2014/main" id="{D679D004-6E42-474F-B5AE-55EEEFED784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69" name="AutoShape 2">
          <a:extLst>
            <a:ext uri="{FF2B5EF4-FFF2-40B4-BE49-F238E27FC236}">
              <a16:creationId xmlns:a16="http://schemas.microsoft.com/office/drawing/2014/main" id="{D2CB6886-D34B-4114-8318-24EA5F06F1E2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70" name="AutoShape 2">
          <a:extLst>
            <a:ext uri="{FF2B5EF4-FFF2-40B4-BE49-F238E27FC236}">
              <a16:creationId xmlns:a16="http://schemas.microsoft.com/office/drawing/2014/main" id="{9530A90B-332F-4041-9DD5-A32C34BC3F2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71" name="AutoShape 2">
          <a:extLst>
            <a:ext uri="{FF2B5EF4-FFF2-40B4-BE49-F238E27FC236}">
              <a16:creationId xmlns:a16="http://schemas.microsoft.com/office/drawing/2014/main" id="{526B4EA0-13B3-4AF8-973C-23B925D4E44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72" name="AutoShape 2">
          <a:extLst>
            <a:ext uri="{FF2B5EF4-FFF2-40B4-BE49-F238E27FC236}">
              <a16:creationId xmlns:a16="http://schemas.microsoft.com/office/drawing/2014/main" id="{A56114D7-A34A-41A3-9259-1254DB40315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73" name="AutoShape 2">
          <a:extLst>
            <a:ext uri="{FF2B5EF4-FFF2-40B4-BE49-F238E27FC236}">
              <a16:creationId xmlns:a16="http://schemas.microsoft.com/office/drawing/2014/main" id="{8F13A2EE-1DD8-434E-AE44-A93DBA78AE5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420225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22860</xdr:colOff>
      <xdr:row>19</xdr:row>
      <xdr:rowOff>83820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id="{00000000-0008-0000-04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7620000" cy="76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22860</xdr:colOff>
      <xdr:row>19</xdr:row>
      <xdr:rowOff>83820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5" name="AutoShape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6" name="Auto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7" name="AutoShape 2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2" name="AutoShape 2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3" name="AutoShape 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4" name="AutoShape 2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5" name="AutoShape 2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6" name="AutoShape 2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7" name="AutoShape 2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8" name="Auto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19" name="AutoShape 2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" name="Auto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" name="AutoShape 2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" name="Auto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" name="AutoShape 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4" name="Auto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5" name="AutoShape 2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6" name="AutoShape 2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7" name="AutoShape 2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8" name="AutoShape 2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9" name="AutoShape 2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30" name="AutoShape 2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31" name="AutoShape 2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48" name="AutoShape 2">
          <a:extLst>
            <a:ext uri="{FF2B5EF4-FFF2-40B4-BE49-F238E27FC236}">
              <a16:creationId xmlns:a16="http://schemas.microsoft.com/office/drawing/2014/main" id="{00000000-0008-0000-0400-000000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49" name="AutoShape 2">
          <a:extLst>
            <a:ext uri="{FF2B5EF4-FFF2-40B4-BE49-F238E27FC236}">
              <a16:creationId xmlns:a16="http://schemas.microsoft.com/office/drawing/2014/main" id="{00000000-0008-0000-0400-000001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51" name="AutoShape 2">
          <a:extLst>
            <a:ext uri="{FF2B5EF4-FFF2-40B4-BE49-F238E27FC236}">
              <a16:creationId xmlns:a16="http://schemas.microsoft.com/office/drawing/2014/main" id="{00000000-0008-0000-0400-000003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52" name="AutoShape 2">
          <a:extLst>
            <a:ext uri="{FF2B5EF4-FFF2-40B4-BE49-F238E27FC236}">
              <a16:creationId xmlns:a16="http://schemas.microsoft.com/office/drawing/2014/main" id="{00000000-0008-0000-0400-000004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53" name="AutoShape 2">
          <a:extLst>
            <a:ext uri="{FF2B5EF4-FFF2-40B4-BE49-F238E27FC236}">
              <a16:creationId xmlns:a16="http://schemas.microsoft.com/office/drawing/2014/main" id="{00000000-0008-0000-0400-000005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54" name="AutoShape 2">
          <a:extLst>
            <a:ext uri="{FF2B5EF4-FFF2-40B4-BE49-F238E27FC236}">
              <a16:creationId xmlns:a16="http://schemas.microsoft.com/office/drawing/2014/main" id="{00000000-0008-0000-0400-000006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55" name="AutoShape 2">
          <a:extLst>
            <a:ext uri="{FF2B5EF4-FFF2-40B4-BE49-F238E27FC236}">
              <a16:creationId xmlns:a16="http://schemas.microsoft.com/office/drawing/2014/main" id="{00000000-0008-0000-0400-000007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56" name="AutoShape 2">
          <a:extLst>
            <a:ext uri="{FF2B5EF4-FFF2-40B4-BE49-F238E27FC236}">
              <a16:creationId xmlns:a16="http://schemas.microsoft.com/office/drawing/2014/main" id="{00000000-0008-0000-0400-000008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57" name="AutoShape 2">
          <a:extLst>
            <a:ext uri="{FF2B5EF4-FFF2-40B4-BE49-F238E27FC236}">
              <a16:creationId xmlns:a16="http://schemas.microsoft.com/office/drawing/2014/main" id="{00000000-0008-0000-0400-000009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58" name="AutoShape 2">
          <a:extLst>
            <a:ext uri="{FF2B5EF4-FFF2-40B4-BE49-F238E27FC236}">
              <a16:creationId xmlns:a16="http://schemas.microsoft.com/office/drawing/2014/main" id="{00000000-0008-0000-0400-00000A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59" name="AutoShape 2">
          <a:extLst>
            <a:ext uri="{FF2B5EF4-FFF2-40B4-BE49-F238E27FC236}">
              <a16:creationId xmlns:a16="http://schemas.microsoft.com/office/drawing/2014/main" id="{00000000-0008-0000-0400-00000B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60" name="AutoShape 2">
          <a:extLst>
            <a:ext uri="{FF2B5EF4-FFF2-40B4-BE49-F238E27FC236}">
              <a16:creationId xmlns:a16="http://schemas.microsoft.com/office/drawing/2014/main" id="{00000000-0008-0000-0400-00000C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61" name="AutoShape 2">
          <a:extLst>
            <a:ext uri="{FF2B5EF4-FFF2-40B4-BE49-F238E27FC236}">
              <a16:creationId xmlns:a16="http://schemas.microsoft.com/office/drawing/2014/main" id="{00000000-0008-0000-0400-00000D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62" name="AutoShape 2">
          <a:extLst>
            <a:ext uri="{FF2B5EF4-FFF2-40B4-BE49-F238E27FC236}">
              <a16:creationId xmlns:a16="http://schemas.microsoft.com/office/drawing/2014/main" id="{00000000-0008-0000-0400-00000E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63" name="AutoShape 2">
          <a:extLst>
            <a:ext uri="{FF2B5EF4-FFF2-40B4-BE49-F238E27FC236}">
              <a16:creationId xmlns:a16="http://schemas.microsoft.com/office/drawing/2014/main" id="{00000000-0008-0000-0400-00000F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64" name="AutoShape 2">
          <a:extLst>
            <a:ext uri="{FF2B5EF4-FFF2-40B4-BE49-F238E27FC236}">
              <a16:creationId xmlns:a16="http://schemas.microsoft.com/office/drawing/2014/main" id="{00000000-0008-0000-0400-000010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65" name="AutoShape 2">
          <a:extLst>
            <a:ext uri="{FF2B5EF4-FFF2-40B4-BE49-F238E27FC236}">
              <a16:creationId xmlns:a16="http://schemas.microsoft.com/office/drawing/2014/main" id="{00000000-0008-0000-0400-000011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66" name="AutoShape 2">
          <a:extLst>
            <a:ext uri="{FF2B5EF4-FFF2-40B4-BE49-F238E27FC236}">
              <a16:creationId xmlns:a16="http://schemas.microsoft.com/office/drawing/2014/main" id="{00000000-0008-0000-0400-000012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67" name="AutoShape 2">
          <a:extLst>
            <a:ext uri="{FF2B5EF4-FFF2-40B4-BE49-F238E27FC236}">
              <a16:creationId xmlns:a16="http://schemas.microsoft.com/office/drawing/2014/main" id="{00000000-0008-0000-0400-000013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68" name="AutoShape 2">
          <a:extLst>
            <a:ext uri="{FF2B5EF4-FFF2-40B4-BE49-F238E27FC236}">
              <a16:creationId xmlns:a16="http://schemas.microsoft.com/office/drawing/2014/main" id="{00000000-0008-0000-0400-000014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69" name="AutoShape 2">
          <a:extLst>
            <a:ext uri="{FF2B5EF4-FFF2-40B4-BE49-F238E27FC236}">
              <a16:creationId xmlns:a16="http://schemas.microsoft.com/office/drawing/2014/main" id="{00000000-0008-0000-0400-000015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70" name="AutoShape 2">
          <a:extLst>
            <a:ext uri="{FF2B5EF4-FFF2-40B4-BE49-F238E27FC236}">
              <a16:creationId xmlns:a16="http://schemas.microsoft.com/office/drawing/2014/main" id="{00000000-0008-0000-0400-000016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71" name="AutoShape 2">
          <a:extLst>
            <a:ext uri="{FF2B5EF4-FFF2-40B4-BE49-F238E27FC236}">
              <a16:creationId xmlns:a16="http://schemas.microsoft.com/office/drawing/2014/main" id="{00000000-0008-0000-0400-000017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72" name="AutoShape 2">
          <a:extLst>
            <a:ext uri="{FF2B5EF4-FFF2-40B4-BE49-F238E27FC236}">
              <a16:creationId xmlns:a16="http://schemas.microsoft.com/office/drawing/2014/main" id="{00000000-0008-0000-0400-000018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73" name="AutoShape 2">
          <a:extLst>
            <a:ext uri="{FF2B5EF4-FFF2-40B4-BE49-F238E27FC236}">
              <a16:creationId xmlns:a16="http://schemas.microsoft.com/office/drawing/2014/main" id="{00000000-0008-0000-0400-000019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74" name="AutoShape 2">
          <a:extLst>
            <a:ext uri="{FF2B5EF4-FFF2-40B4-BE49-F238E27FC236}">
              <a16:creationId xmlns:a16="http://schemas.microsoft.com/office/drawing/2014/main" id="{00000000-0008-0000-0400-00001A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75" name="AutoShape 2">
          <a:extLst>
            <a:ext uri="{FF2B5EF4-FFF2-40B4-BE49-F238E27FC236}">
              <a16:creationId xmlns:a16="http://schemas.microsoft.com/office/drawing/2014/main" id="{00000000-0008-0000-0400-00001B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76" name="AutoShape 2">
          <a:extLst>
            <a:ext uri="{FF2B5EF4-FFF2-40B4-BE49-F238E27FC236}">
              <a16:creationId xmlns:a16="http://schemas.microsoft.com/office/drawing/2014/main" id="{00000000-0008-0000-0400-00001C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77" name="AutoShape 2">
          <a:extLst>
            <a:ext uri="{FF2B5EF4-FFF2-40B4-BE49-F238E27FC236}">
              <a16:creationId xmlns:a16="http://schemas.microsoft.com/office/drawing/2014/main" id="{00000000-0008-0000-0400-00001D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78" name="AutoShape 2">
          <a:extLst>
            <a:ext uri="{FF2B5EF4-FFF2-40B4-BE49-F238E27FC236}">
              <a16:creationId xmlns:a16="http://schemas.microsoft.com/office/drawing/2014/main" id="{00000000-0008-0000-0400-00001E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79" name="AutoShape 2">
          <a:extLst>
            <a:ext uri="{FF2B5EF4-FFF2-40B4-BE49-F238E27FC236}">
              <a16:creationId xmlns:a16="http://schemas.microsoft.com/office/drawing/2014/main" id="{00000000-0008-0000-0400-00001F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80" name="AutoShape 2">
          <a:extLst>
            <a:ext uri="{FF2B5EF4-FFF2-40B4-BE49-F238E27FC236}">
              <a16:creationId xmlns:a16="http://schemas.microsoft.com/office/drawing/2014/main" id="{00000000-0008-0000-0400-000020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81" name="AutoShape 2">
          <a:extLst>
            <a:ext uri="{FF2B5EF4-FFF2-40B4-BE49-F238E27FC236}">
              <a16:creationId xmlns:a16="http://schemas.microsoft.com/office/drawing/2014/main" id="{00000000-0008-0000-0400-000021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82" name="AutoShape 2">
          <a:extLst>
            <a:ext uri="{FF2B5EF4-FFF2-40B4-BE49-F238E27FC236}">
              <a16:creationId xmlns:a16="http://schemas.microsoft.com/office/drawing/2014/main" id="{00000000-0008-0000-0400-000022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83" name="AutoShape 2">
          <a:extLst>
            <a:ext uri="{FF2B5EF4-FFF2-40B4-BE49-F238E27FC236}">
              <a16:creationId xmlns:a16="http://schemas.microsoft.com/office/drawing/2014/main" id="{00000000-0008-0000-0400-000023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84" name="AutoShape 2">
          <a:extLst>
            <a:ext uri="{FF2B5EF4-FFF2-40B4-BE49-F238E27FC236}">
              <a16:creationId xmlns:a16="http://schemas.microsoft.com/office/drawing/2014/main" id="{00000000-0008-0000-0400-000024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85" name="AutoShape 2">
          <a:extLst>
            <a:ext uri="{FF2B5EF4-FFF2-40B4-BE49-F238E27FC236}">
              <a16:creationId xmlns:a16="http://schemas.microsoft.com/office/drawing/2014/main" id="{00000000-0008-0000-0400-000025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86" name="AutoShape 2">
          <a:extLst>
            <a:ext uri="{FF2B5EF4-FFF2-40B4-BE49-F238E27FC236}">
              <a16:creationId xmlns:a16="http://schemas.microsoft.com/office/drawing/2014/main" id="{00000000-0008-0000-0400-000026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87" name="AutoShape 2">
          <a:extLst>
            <a:ext uri="{FF2B5EF4-FFF2-40B4-BE49-F238E27FC236}">
              <a16:creationId xmlns:a16="http://schemas.microsoft.com/office/drawing/2014/main" id="{00000000-0008-0000-0400-000027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88" name="AutoShape 2">
          <a:extLst>
            <a:ext uri="{FF2B5EF4-FFF2-40B4-BE49-F238E27FC236}">
              <a16:creationId xmlns:a16="http://schemas.microsoft.com/office/drawing/2014/main" id="{00000000-0008-0000-0400-000028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89" name="AutoShape 2">
          <a:extLst>
            <a:ext uri="{FF2B5EF4-FFF2-40B4-BE49-F238E27FC236}">
              <a16:creationId xmlns:a16="http://schemas.microsoft.com/office/drawing/2014/main" id="{00000000-0008-0000-0400-000029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90" name="AutoShape 2">
          <a:extLst>
            <a:ext uri="{FF2B5EF4-FFF2-40B4-BE49-F238E27FC236}">
              <a16:creationId xmlns:a16="http://schemas.microsoft.com/office/drawing/2014/main" id="{00000000-0008-0000-0400-00002A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91" name="AutoShape 2">
          <a:extLst>
            <a:ext uri="{FF2B5EF4-FFF2-40B4-BE49-F238E27FC236}">
              <a16:creationId xmlns:a16="http://schemas.microsoft.com/office/drawing/2014/main" id="{00000000-0008-0000-0400-00002B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92" name="AutoShape 2">
          <a:extLst>
            <a:ext uri="{FF2B5EF4-FFF2-40B4-BE49-F238E27FC236}">
              <a16:creationId xmlns:a16="http://schemas.microsoft.com/office/drawing/2014/main" id="{00000000-0008-0000-0400-00002C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93" name="AutoShape 2">
          <a:extLst>
            <a:ext uri="{FF2B5EF4-FFF2-40B4-BE49-F238E27FC236}">
              <a16:creationId xmlns:a16="http://schemas.microsoft.com/office/drawing/2014/main" id="{00000000-0008-0000-0400-00002D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94" name="AutoShape 2">
          <a:extLst>
            <a:ext uri="{FF2B5EF4-FFF2-40B4-BE49-F238E27FC236}">
              <a16:creationId xmlns:a16="http://schemas.microsoft.com/office/drawing/2014/main" id="{00000000-0008-0000-0400-00002E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95" name="AutoShape 2">
          <a:extLst>
            <a:ext uri="{FF2B5EF4-FFF2-40B4-BE49-F238E27FC236}">
              <a16:creationId xmlns:a16="http://schemas.microsoft.com/office/drawing/2014/main" id="{00000000-0008-0000-0400-00002F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96" name="AutoShape 2">
          <a:extLst>
            <a:ext uri="{FF2B5EF4-FFF2-40B4-BE49-F238E27FC236}">
              <a16:creationId xmlns:a16="http://schemas.microsoft.com/office/drawing/2014/main" id="{00000000-0008-0000-0400-000030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97" name="AutoShape 2">
          <a:extLst>
            <a:ext uri="{FF2B5EF4-FFF2-40B4-BE49-F238E27FC236}">
              <a16:creationId xmlns:a16="http://schemas.microsoft.com/office/drawing/2014/main" id="{00000000-0008-0000-0400-000031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98" name="AutoShape 2">
          <a:extLst>
            <a:ext uri="{FF2B5EF4-FFF2-40B4-BE49-F238E27FC236}">
              <a16:creationId xmlns:a16="http://schemas.microsoft.com/office/drawing/2014/main" id="{00000000-0008-0000-0400-000032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099" name="AutoShape 2">
          <a:extLst>
            <a:ext uri="{FF2B5EF4-FFF2-40B4-BE49-F238E27FC236}">
              <a16:creationId xmlns:a16="http://schemas.microsoft.com/office/drawing/2014/main" id="{00000000-0008-0000-0400-000033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00" name="AutoShape 2">
          <a:extLst>
            <a:ext uri="{FF2B5EF4-FFF2-40B4-BE49-F238E27FC236}">
              <a16:creationId xmlns:a16="http://schemas.microsoft.com/office/drawing/2014/main" id="{00000000-0008-0000-0400-000034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01" name="AutoShape 2">
          <a:extLst>
            <a:ext uri="{FF2B5EF4-FFF2-40B4-BE49-F238E27FC236}">
              <a16:creationId xmlns:a16="http://schemas.microsoft.com/office/drawing/2014/main" id="{00000000-0008-0000-0400-000035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02" name="AutoShape 2">
          <a:extLst>
            <a:ext uri="{FF2B5EF4-FFF2-40B4-BE49-F238E27FC236}">
              <a16:creationId xmlns:a16="http://schemas.microsoft.com/office/drawing/2014/main" id="{00000000-0008-0000-0400-000036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03" name="AutoShape 2">
          <a:extLst>
            <a:ext uri="{FF2B5EF4-FFF2-40B4-BE49-F238E27FC236}">
              <a16:creationId xmlns:a16="http://schemas.microsoft.com/office/drawing/2014/main" id="{00000000-0008-0000-0400-000037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04" name="AutoShape 2">
          <a:extLst>
            <a:ext uri="{FF2B5EF4-FFF2-40B4-BE49-F238E27FC236}">
              <a16:creationId xmlns:a16="http://schemas.microsoft.com/office/drawing/2014/main" id="{00000000-0008-0000-0400-000038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05" name="AutoShape 2">
          <a:extLst>
            <a:ext uri="{FF2B5EF4-FFF2-40B4-BE49-F238E27FC236}">
              <a16:creationId xmlns:a16="http://schemas.microsoft.com/office/drawing/2014/main" id="{00000000-0008-0000-0400-000039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06" name="AutoShape 2">
          <a:extLst>
            <a:ext uri="{FF2B5EF4-FFF2-40B4-BE49-F238E27FC236}">
              <a16:creationId xmlns:a16="http://schemas.microsoft.com/office/drawing/2014/main" id="{00000000-0008-0000-0400-00003A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07" name="AutoShape 2">
          <a:extLst>
            <a:ext uri="{FF2B5EF4-FFF2-40B4-BE49-F238E27FC236}">
              <a16:creationId xmlns:a16="http://schemas.microsoft.com/office/drawing/2014/main" id="{00000000-0008-0000-0400-00003B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08" name="AutoShape 2">
          <a:extLst>
            <a:ext uri="{FF2B5EF4-FFF2-40B4-BE49-F238E27FC236}">
              <a16:creationId xmlns:a16="http://schemas.microsoft.com/office/drawing/2014/main" id="{00000000-0008-0000-0400-00003C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09" name="AutoShape 2">
          <a:extLst>
            <a:ext uri="{FF2B5EF4-FFF2-40B4-BE49-F238E27FC236}">
              <a16:creationId xmlns:a16="http://schemas.microsoft.com/office/drawing/2014/main" id="{00000000-0008-0000-0400-00003D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10" name="AutoShape 2">
          <a:extLst>
            <a:ext uri="{FF2B5EF4-FFF2-40B4-BE49-F238E27FC236}">
              <a16:creationId xmlns:a16="http://schemas.microsoft.com/office/drawing/2014/main" id="{00000000-0008-0000-0400-00003E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11" name="AutoShape 2">
          <a:extLst>
            <a:ext uri="{FF2B5EF4-FFF2-40B4-BE49-F238E27FC236}">
              <a16:creationId xmlns:a16="http://schemas.microsoft.com/office/drawing/2014/main" id="{00000000-0008-0000-0400-00003F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12" name="AutoShape 2">
          <a:extLst>
            <a:ext uri="{FF2B5EF4-FFF2-40B4-BE49-F238E27FC236}">
              <a16:creationId xmlns:a16="http://schemas.microsoft.com/office/drawing/2014/main" id="{00000000-0008-0000-0400-000040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13" name="AutoShape 2">
          <a:extLst>
            <a:ext uri="{FF2B5EF4-FFF2-40B4-BE49-F238E27FC236}">
              <a16:creationId xmlns:a16="http://schemas.microsoft.com/office/drawing/2014/main" id="{00000000-0008-0000-0400-000041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14" name="AutoShape 2">
          <a:extLst>
            <a:ext uri="{FF2B5EF4-FFF2-40B4-BE49-F238E27FC236}">
              <a16:creationId xmlns:a16="http://schemas.microsoft.com/office/drawing/2014/main" id="{00000000-0008-0000-0400-000042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15" name="AutoShape 2">
          <a:extLst>
            <a:ext uri="{FF2B5EF4-FFF2-40B4-BE49-F238E27FC236}">
              <a16:creationId xmlns:a16="http://schemas.microsoft.com/office/drawing/2014/main" id="{00000000-0008-0000-0400-000043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16" name="AutoShape 2">
          <a:extLst>
            <a:ext uri="{FF2B5EF4-FFF2-40B4-BE49-F238E27FC236}">
              <a16:creationId xmlns:a16="http://schemas.microsoft.com/office/drawing/2014/main" id="{00000000-0008-0000-0400-000044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17" name="AutoShape 2">
          <a:extLst>
            <a:ext uri="{FF2B5EF4-FFF2-40B4-BE49-F238E27FC236}">
              <a16:creationId xmlns:a16="http://schemas.microsoft.com/office/drawing/2014/main" id="{00000000-0008-0000-0400-000045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18" name="AutoShape 2">
          <a:extLst>
            <a:ext uri="{FF2B5EF4-FFF2-40B4-BE49-F238E27FC236}">
              <a16:creationId xmlns:a16="http://schemas.microsoft.com/office/drawing/2014/main" id="{00000000-0008-0000-0400-000046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19" name="AutoShape 2">
          <a:extLst>
            <a:ext uri="{FF2B5EF4-FFF2-40B4-BE49-F238E27FC236}">
              <a16:creationId xmlns:a16="http://schemas.microsoft.com/office/drawing/2014/main" id="{00000000-0008-0000-0400-000047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20" name="AutoShape 2">
          <a:extLst>
            <a:ext uri="{FF2B5EF4-FFF2-40B4-BE49-F238E27FC236}">
              <a16:creationId xmlns:a16="http://schemas.microsoft.com/office/drawing/2014/main" id="{00000000-0008-0000-0400-000048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21" name="AutoShape 2">
          <a:extLst>
            <a:ext uri="{FF2B5EF4-FFF2-40B4-BE49-F238E27FC236}">
              <a16:creationId xmlns:a16="http://schemas.microsoft.com/office/drawing/2014/main" id="{00000000-0008-0000-0400-000049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22" name="AutoShape 2">
          <a:extLst>
            <a:ext uri="{FF2B5EF4-FFF2-40B4-BE49-F238E27FC236}">
              <a16:creationId xmlns:a16="http://schemas.microsoft.com/office/drawing/2014/main" id="{00000000-0008-0000-0400-00004A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23" name="AutoShape 2">
          <a:extLst>
            <a:ext uri="{FF2B5EF4-FFF2-40B4-BE49-F238E27FC236}">
              <a16:creationId xmlns:a16="http://schemas.microsoft.com/office/drawing/2014/main" id="{00000000-0008-0000-0400-00004B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24" name="AutoShape 2">
          <a:extLst>
            <a:ext uri="{FF2B5EF4-FFF2-40B4-BE49-F238E27FC236}">
              <a16:creationId xmlns:a16="http://schemas.microsoft.com/office/drawing/2014/main" id="{00000000-0008-0000-0400-00004C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25" name="AutoShape 2">
          <a:extLst>
            <a:ext uri="{FF2B5EF4-FFF2-40B4-BE49-F238E27FC236}">
              <a16:creationId xmlns:a16="http://schemas.microsoft.com/office/drawing/2014/main" id="{00000000-0008-0000-0400-00004D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26" name="AutoShape 2">
          <a:extLst>
            <a:ext uri="{FF2B5EF4-FFF2-40B4-BE49-F238E27FC236}">
              <a16:creationId xmlns:a16="http://schemas.microsoft.com/office/drawing/2014/main" id="{00000000-0008-0000-0400-00004E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27" name="AutoShape 2">
          <a:extLst>
            <a:ext uri="{FF2B5EF4-FFF2-40B4-BE49-F238E27FC236}">
              <a16:creationId xmlns:a16="http://schemas.microsoft.com/office/drawing/2014/main" id="{00000000-0008-0000-0400-00004F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28" name="AutoShape 2">
          <a:extLst>
            <a:ext uri="{FF2B5EF4-FFF2-40B4-BE49-F238E27FC236}">
              <a16:creationId xmlns:a16="http://schemas.microsoft.com/office/drawing/2014/main" id="{00000000-0008-0000-0400-000050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29" name="AutoShape 2">
          <a:extLst>
            <a:ext uri="{FF2B5EF4-FFF2-40B4-BE49-F238E27FC236}">
              <a16:creationId xmlns:a16="http://schemas.microsoft.com/office/drawing/2014/main" id="{00000000-0008-0000-0400-000051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30" name="AutoShape 2">
          <a:extLst>
            <a:ext uri="{FF2B5EF4-FFF2-40B4-BE49-F238E27FC236}">
              <a16:creationId xmlns:a16="http://schemas.microsoft.com/office/drawing/2014/main" id="{00000000-0008-0000-0400-0000520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22860</xdr:colOff>
      <xdr:row>19</xdr:row>
      <xdr:rowOff>83820</xdr:rowOff>
    </xdr:to>
    <xdr:sp macro="" textlink="">
      <xdr:nvSpPr>
        <xdr:cNvPr id="32" name="AutoShape 2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22860</xdr:colOff>
      <xdr:row>19</xdr:row>
      <xdr:rowOff>83820</xdr:rowOff>
    </xdr:to>
    <xdr:sp macro="" textlink="">
      <xdr:nvSpPr>
        <xdr:cNvPr id="33" name="AutoShape 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34" name="AutoShape 2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35" name="AutoShape 2">
          <a:extLst>
            <a:ext uri="{FF2B5EF4-FFF2-40B4-BE49-F238E27FC236}">
              <a16:creationId xmlns:a16="http://schemas.microsoft.com/office/drawing/2014/main" id="{3E02AA9A-FC0C-4B7F-A401-0228C8B442D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36" name="AutoShape 2">
          <a:extLst>
            <a:ext uri="{FF2B5EF4-FFF2-40B4-BE49-F238E27FC236}">
              <a16:creationId xmlns:a16="http://schemas.microsoft.com/office/drawing/2014/main" id="{96FAD5AF-B246-4BD8-A396-90FBDCD3B1C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37" name="AutoShape 2">
          <a:extLst>
            <a:ext uri="{FF2B5EF4-FFF2-40B4-BE49-F238E27FC236}">
              <a16:creationId xmlns:a16="http://schemas.microsoft.com/office/drawing/2014/main" id="{3F9F4104-415E-4768-8387-E53AF36118C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38" name="AutoShape 2">
          <a:extLst>
            <a:ext uri="{FF2B5EF4-FFF2-40B4-BE49-F238E27FC236}">
              <a16:creationId xmlns:a16="http://schemas.microsoft.com/office/drawing/2014/main" id="{0AC13234-979C-4B41-80AE-57D8149EC16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39" name="AutoShape 2">
          <a:extLst>
            <a:ext uri="{FF2B5EF4-FFF2-40B4-BE49-F238E27FC236}">
              <a16:creationId xmlns:a16="http://schemas.microsoft.com/office/drawing/2014/main" id="{C943D767-7DE7-477A-B4DC-B1BC21CBD20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40" name="AutoShape 2">
          <a:extLst>
            <a:ext uri="{FF2B5EF4-FFF2-40B4-BE49-F238E27FC236}">
              <a16:creationId xmlns:a16="http://schemas.microsoft.com/office/drawing/2014/main" id="{396CBACF-089C-4EA3-927B-87C993221F3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41" name="AutoShape 2">
          <a:extLst>
            <a:ext uri="{FF2B5EF4-FFF2-40B4-BE49-F238E27FC236}">
              <a16:creationId xmlns:a16="http://schemas.microsoft.com/office/drawing/2014/main" id="{CD24C9C8-803D-45F7-B3A0-315217FBDD6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42" name="AutoShape 2">
          <a:extLst>
            <a:ext uri="{FF2B5EF4-FFF2-40B4-BE49-F238E27FC236}">
              <a16:creationId xmlns:a16="http://schemas.microsoft.com/office/drawing/2014/main" id="{A69BE200-EB6A-47E4-9938-CAE04D45825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43" name="AutoShape 2">
          <a:extLst>
            <a:ext uri="{FF2B5EF4-FFF2-40B4-BE49-F238E27FC236}">
              <a16:creationId xmlns:a16="http://schemas.microsoft.com/office/drawing/2014/main" id="{872D30DA-F3A6-492C-8BB2-8FFDF8D7938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44" name="AutoShape 2">
          <a:extLst>
            <a:ext uri="{FF2B5EF4-FFF2-40B4-BE49-F238E27FC236}">
              <a16:creationId xmlns:a16="http://schemas.microsoft.com/office/drawing/2014/main" id="{C2243648-321E-4A35-BCF7-79427F700BA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45" name="AutoShape 2">
          <a:extLst>
            <a:ext uri="{FF2B5EF4-FFF2-40B4-BE49-F238E27FC236}">
              <a16:creationId xmlns:a16="http://schemas.microsoft.com/office/drawing/2014/main" id="{782F9851-A447-4771-A9D0-5CBDA5AC848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46" name="AutoShape 2">
          <a:extLst>
            <a:ext uri="{FF2B5EF4-FFF2-40B4-BE49-F238E27FC236}">
              <a16:creationId xmlns:a16="http://schemas.microsoft.com/office/drawing/2014/main" id="{7F24EB6E-29AC-49F1-B0DD-DE0331A4EA2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47" name="AutoShape 2">
          <a:extLst>
            <a:ext uri="{FF2B5EF4-FFF2-40B4-BE49-F238E27FC236}">
              <a16:creationId xmlns:a16="http://schemas.microsoft.com/office/drawing/2014/main" id="{3147220B-0696-4B95-B625-5488F4046CC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48" name="AutoShape 2">
          <a:extLst>
            <a:ext uri="{FF2B5EF4-FFF2-40B4-BE49-F238E27FC236}">
              <a16:creationId xmlns:a16="http://schemas.microsoft.com/office/drawing/2014/main" id="{D8D8B7EF-DBB3-43A2-96F8-817355028C5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49" name="AutoShape 2">
          <a:extLst>
            <a:ext uri="{FF2B5EF4-FFF2-40B4-BE49-F238E27FC236}">
              <a16:creationId xmlns:a16="http://schemas.microsoft.com/office/drawing/2014/main" id="{E70E1E5A-E7C9-4831-BA1F-441C4CC6FA3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50" name="AutoShape 2">
          <a:extLst>
            <a:ext uri="{FF2B5EF4-FFF2-40B4-BE49-F238E27FC236}">
              <a16:creationId xmlns:a16="http://schemas.microsoft.com/office/drawing/2014/main" id="{B9CA33F3-E1D4-448D-B685-356C75CA1ED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51" name="AutoShape 2">
          <a:extLst>
            <a:ext uri="{FF2B5EF4-FFF2-40B4-BE49-F238E27FC236}">
              <a16:creationId xmlns:a16="http://schemas.microsoft.com/office/drawing/2014/main" id="{CCD9FA6B-5E5E-4A29-8629-C6CC333B1CD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52" name="AutoShape 2">
          <a:extLst>
            <a:ext uri="{FF2B5EF4-FFF2-40B4-BE49-F238E27FC236}">
              <a16:creationId xmlns:a16="http://schemas.microsoft.com/office/drawing/2014/main" id="{3F45B451-5F1F-4D02-82E0-FD4C09F75EA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53" name="AutoShape 2">
          <a:extLst>
            <a:ext uri="{FF2B5EF4-FFF2-40B4-BE49-F238E27FC236}">
              <a16:creationId xmlns:a16="http://schemas.microsoft.com/office/drawing/2014/main" id="{42ED26C9-79F1-4FD9-A52D-16771884162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54" name="AutoShape 2">
          <a:extLst>
            <a:ext uri="{FF2B5EF4-FFF2-40B4-BE49-F238E27FC236}">
              <a16:creationId xmlns:a16="http://schemas.microsoft.com/office/drawing/2014/main" id="{543BD62C-024D-49E1-9B75-8B1EA4AC0FB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55" name="AutoShape 2">
          <a:extLst>
            <a:ext uri="{FF2B5EF4-FFF2-40B4-BE49-F238E27FC236}">
              <a16:creationId xmlns:a16="http://schemas.microsoft.com/office/drawing/2014/main" id="{F81C8C8A-D910-413D-9F3E-3136DACABE0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56" name="AutoShape 2">
          <a:extLst>
            <a:ext uri="{FF2B5EF4-FFF2-40B4-BE49-F238E27FC236}">
              <a16:creationId xmlns:a16="http://schemas.microsoft.com/office/drawing/2014/main" id="{FB1530EB-B974-49B9-AA49-CDB075E6977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57" name="AutoShape 2">
          <a:extLst>
            <a:ext uri="{FF2B5EF4-FFF2-40B4-BE49-F238E27FC236}">
              <a16:creationId xmlns:a16="http://schemas.microsoft.com/office/drawing/2014/main" id="{5DC880C3-4692-4A5E-ACDB-F4A6C181A77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58" name="AutoShape 2">
          <a:extLst>
            <a:ext uri="{FF2B5EF4-FFF2-40B4-BE49-F238E27FC236}">
              <a16:creationId xmlns:a16="http://schemas.microsoft.com/office/drawing/2014/main" id="{57C28789-B2D5-4B35-870E-8C80FFF6856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59" name="AutoShape 2">
          <a:extLst>
            <a:ext uri="{FF2B5EF4-FFF2-40B4-BE49-F238E27FC236}">
              <a16:creationId xmlns:a16="http://schemas.microsoft.com/office/drawing/2014/main" id="{D82CD3BC-1698-4E60-A468-995F34298B1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60" name="AutoShape 2">
          <a:extLst>
            <a:ext uri="{FF2B5EF4-FFF2-40B4-BE49-F238E27FC236}">
              <a16:creationId xmlns:a16="http://schemas.microsoft.com/office/drawing/2014/main" id="{09BA5BD2-ACE4-4700-B649-1A50FF7326C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61" name="AutoShape 2">
          <a:extLst>
            <a:ext uri="{FF2B5EF4-FFF2-40B4-BE49-F238E27FC236}">
              <a16:creationId xmlns:a16="http://schemas.microsoft.com/office/drawing/2014/main" id="{3B9289A0-378C-41EE-B309-400B18CD1F1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62" name="AutoShape 2">
          <a:extLst>
            <a:ext uri="{FF2B5EF4-FFF2-40B4-BE49-F238E27FC236}">
              <a16:creationId xmlns:a16="http://schemas.microsoft.com/office/drawing/2014/main" id="{F8804AE9-7A69-40E6-974B-11764C78F70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63" name="AutoShape 2">
          <a:extLst>
            <a:ext uri="{FF2B5EF4-FFF2-40B4-BE49-F238E27FC236}">
              <a16:creationId xmlns:a16="http://schemas.microsoft.com/office/drawing/2014/main" id="{5E96DE99-F4BE-437A-B123-700F0AF2673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31" name="AutoShape 2">
          <a:extLst>
            <a:ext uri="{FF2B5EF4-FFF2-40B4-BE49-F238E27FC236}">
              <a16:creationId xmlns:a16="http://schemas.microsoft.com/office/drawing/2014/main" id="{4EC1F607-7F8A-4406-9612-5743D343BD7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32" name="AutoShape 2">
          <a:extLst>
            <a:ext uri="{FF2B5EF4-FFF2-40B4-BE49-F238E27FC236}">
              <a16:creationId xmlns:a16="http://schemas.microsoft.com/office/drawing/2014/main" id="{53BDEFEF-6F9C-4202-BB88-C6A5721A752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33" name="AutoShape 2">
          <a:extLst>
            <a:ext uri="{FF2B5EF4-FFF2-40B4-BE49-F238E27FC236}">
              <a16:creationId xmlns:a16="http://schemas.microsoft.com/office/drawing/2014/main" id="{C7D9D0A3-9E69-47CD-801F-BB8FBC6E624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34" name="AutoShape 2">
          <a:extLst>
            <a:ext uri="{FF2B5EF4-FFF2-40B4-BE49-F238E27FC236}">
              <a16:creationId xmlns:a16="http://schemas.microsoft.com/office/drawing/2014/main" id="{1CA10309-F505-439D-B25A-BE8CDC5228B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35" name="AutoShape 2">
          <a:extLst>
            <a:ext uri="{FF2B5EF4-FFF2-40B4-BE49-F238E27FC236}">
              <a16:creationId xmlns:a16="http://schemas.microsoft.com/office/drawing/2014/main" id="{1D177D52-FC1B-46EF-9717-B88756CB2D4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36" name="AutoShape 2">
          <a:extLst>
            <a:ext uri="{FF2B5EF4-FFF2-40B4-BE49-F238E27FC236}">
              <a16:creationId xmlns:a16="http://schemas.microsoft.com/office/drawing/2014/main" id="{8A447F49-19D6-41E0-81CB-2A36FB81594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37" name="AutoShape 2">
          <a:extLst>
            <a:ext uri="{FF2B5EF4-FFF2-40B4-BE49-F238E27FC236}">
              <a16:creationId xmlns:a16="http://schemas.microsoft.com/office/drawing/2014/main" id="{0A6E00E0-53DD-4285-878D-D0959CCF8B8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38" name="AutoShape 2">
          <a:extLst>
            <a:ext uri="{FF2B5EF4-FFF2-40B4-BE49-F238E27FC236}">
              <a16:creationId xmlns:a16="http://schemas.microsoft.com/office/drawing/2014/main" id="{682D921E-BD39-4379-886A-FC2103400DD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39" name="AutoShape 2">
          <a:extLst>
            <a:ext uri="{FF2B5EF4-FFF2-40B4-BE49-F238E27FC236}">
              <a16:creationId xmlns:a16="http://schemas.microsoft.com/office/drawing/2014/main" id="{D3AB2E00-9CA7-4158-AD51-61755300206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40" name="AutoShape 2">
          <a:extLst>
            <a:ext uri="{FF2B5EF4-FFF2-40B4-BE49-F238E27FC236}">
              <a16:creationId xmlns:a16="http://schemas.microsoft.com/office/drawing/2014/main" id="{DF6D0A7D-0026-4748-A9DE-FA6E05386C1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41" name="AutoShape 2">
          <a:extLst>
            <a:ext uri="{FF2B5EF4-FFF2-40B4-BE49-F238E27FC236}">
              <a16:creationId xmlns:a16="http://schemas.microsoft.com/office/drawing/2014/main" id="{9CD6FEF4-EC36-4D80-A8E7-D170C1E12F5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42" name="AutoShape 2">
          <a:extLst>
            <a:ext uri="{FF2B5EF4-FFF2-40B4-BE49-F238E27FC236}">
              <a16:creationId xmlns:a16="http://schemas.microsoft.com/office/drawing/2014/main" id="{5157AF60-EA5C-4DF5-BB67-7812602CF9C2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43" name="AutoShape 2">
          <a:extLst>
            <a:ext uri="{FF2B5EF4-FFF2-40B4-BE49-F238E27FC236}">
              <a16:creationId xmlns:a16="http://schemas.microsoft.com/office/drawing/2014/main" id="{6110823C-9D28-4A93-8734-D1C0C0B3EB4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44" name="AutoShape 2">
          <a:extLst>
            <a:ext uri="{FF2B5EF4-FFF2-40B4-BE49-F238E27FC236}">
              <a16:creationId xmlns:a16="http://schemas.microsoft.com/office/drawing/2014/main" id="{174DAF57-81A9-40B8-999E-6C638FB5095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45" name="AutoShape 2">
          <a:extLst>
            <a:ext uri="{FF2B5EF4-FFF2-40B4-BE49-F238E27FC236}">
              <a16:creationId xmlns:a16="http://schemas.microsoft.com/office/drawing/2014/main" id="{768D7150-99F5-48B4-AB6B-443B0ED1444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46" name="AutoShape 2">
          <a:extLst>
            <a:ext uri="{FF2B5EF4-FFF2-40B4-BE49-F238E27FC236}">
              <a16:creationId xmlns:a16="http://schemas.microsoft.com/office/drawing/2014/main" id="{8663C4DA-5766-4E1B-B372-D87507410BE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47" name="AutoShape 2">
          <a:extLst>
            <a:ext uri="{FF2B5EF4-FFF2-40B4-BE49-F238E27FC236}">
              <a16:creationId xmlns:a16="http://schemas.microsoft.com/office/drawing/2014/main" id="{A168496A-EA42-45BE-9A88-A15FBD067A8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48" name="AutoShape 2">
          <a:extLst>
            <a:ext uri="{FF2B5EF4-FFF2-40B4-BE49-F238E27FC236}">
              <a16:creationId xmlns:a16="http://schemas.microsoft.com/office/drawing/2014/main" id="{5D6FCCC1-55F0-47D7-BB25-F361C23B8BE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49" name="AutoShape 2">
          <a:extLst>
            <a:ext uri="{FF2B5EF4-FFF2-40B4-BE49-F238E27FC236}">
              <a16:creationId xmlns:a16="http://schemas.microsoft.com/office/drawing/2014/main" id="{FF969F74-F294-4EBC-ABE2-5C92B3C1A9D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50" name="AutoShape 2">
          <a:extLst>
            <a:ext uri="{FF2B5EF4-FFF2-40B4-BE49-F238E27FC236}">
              <a16:creationId xmlns:a16="http://schemas.microsoft.com/office/drawing/2014/main" id="{DB47695A-C7D6-4A56-AD0F-7D9BF310DD1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51" name="AutoShape 2">
          <a:extLst>
            <a:ext uri="{FF2B5EF4-FFF2-40B4-BE49-F238E27FC236}">
              <a16:creationId xmlns:a16="http://schemas.microsoft.com/office/drawing/2014/main" id="{CFA1AF7F-0AF3-4563-8BEF-01BDA1D33E0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52" name="AutoShape 2">
          <a:extLst>
            <a:ext uri="{FF2B5EF4-FFF2-40B4-BE49-F238E27FC236}">
              <a16:creationId xmlns:a16="http://schemas.microsoft.com/office/drawing/2014/main" id="{93E8BED9-A569-4FC9-8258-76D7F3A623B2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53" name="AutoShape 2">
          <a:extLst>
            <a:ext uri="{FF2B5EF4-FFF2-40B4-BE49-F238E27FC236}">
              <a16:creationId xmlns:a16="http://schemas.microsoft.com/office/drawing/2014/main" id="{5C81FDF0-BF0D-4F49-8BB8-FEAE731FE59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54" name="AutoShape 2">
          <a:extLst>
            <a:ext uri="{FF2B5EF4-FFF2-40B4-BE49-F238E27FC236}">
              <a16:creationId xmlns:a16="http://schemas.microsoft.com/office/drawing/2014/main" id="{DFCEA195-B518-4982-92B1-FDABA7B696A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55" name="AutoShape 2">
          <a:extLst>
            <a:ext uri="{FF2B5EF4-FFF2-40B4-BE49-F238E27FC236}">
              <a16:creationId xmlns:a16="http://schemas.microsoft.com/office/drawing/2014/main" id="{DC343F57-29F3-4430-A7FE-394B6A9D49E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56" name="AutoShape 2">
          <a:extLst>
            <a:ext uri="{FF2B5EF4-FFF2-40B4-BE49-F238E27FC236}">
              <a16:creationId xmlns:a16="http://schemas.microsoft.com/office/drawing/2014/main" id="{F90AFC1A-9E07-40BD-B490-1AB616CD20D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57" name="AutoShape 2">
          <a:extLst>
            <a:ext uri="{FF2B5EF4-FFF2-40B4-BE49-F238E27FC236}">
              <a16:creationId xmlns:a16="http://schemas.microsoft.com/office/drawing/2014/main" id="{2B5EF2ED-4B9C-4043-BAE2-2012D56D0032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58" name="AutoShape 2">
          <a:extLst>
            <a:ext uri="{FF2B5EF4-FFF2-40B4-BE49-F238E27FC236}">
              <a16:creationId xmlns:a16="http://schemas.microsoft.com/office/drawing/2014/main" id="{C35FB520-76B2-459F-8C91-938154D102B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59" name="AutoShape 2">
          <a:extLst>
            <a:ext uri="{FF2B5EF4-FFF2-40B4-BE49-F238E27FC236}">
              <a16:creationId xmlns:a16="http://schemas.microsoft.com/office/drawing/2014/main" id="{0E54C23D-F999-4F31-846E-4ECC86ED658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60" name="AutoShape 2">
          <a:extLst>
            <a:ext uri="{FF2B5EF4-FFF2-40B4-BE49-F238E27FC236}">
              <a16:creationId xmlns:a16="http://schemas.microsoft.com/office/drawing/2014/main" id="{5A07E04A-8B64-46AF-8B8A-A84F891D3BE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61" name="AutoShape 2">
          <a:extLst>
            <a:ext uri="{FF2B5EF4-FFF2-40B4-BE49-F238E27FC236}">
              <a16:creationId xmlns:a16="http://schemas.microsoft.com/office/drawing/2014/main" id="{BD9999E8-054B-41BC-84D9-ACEB0AB1341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62" name="AutoShape 2">
          <a:extLst>
            <a:ext uri="{FF2B5EF4-FFF2-40B4-BE49-F238E27FC236}">
              <a16:creationId xmlns:a16="http://schemas.microsoft.com/office/drawing/2014/main" id="{F9AB3111-3907-47E1-8025-B22AA6943F2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63" name="AutoShape 2">
          <a:extLst>
            <a:ext uri="{FF2B5EF4-FFF2-40B4-BE49-F238E27FC236}">
              <a16:creationId xmlns:a16="http://schemas.microsoft.com/office/drawing/2014/main" id="{475A446E-7E1C-47EC-AE17-2C9E5C50653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64" name="AutoShape 2">
          <a:extLst>
            <a:ext uri="{FF2B5EF4-FFF2-40B4-BE49-F238E27FC236}">
              <a16:creationId xmlns:a16="http://schemas.microsoft.com/office/drawing/2014/main" id="{DE8C2A3E-78BE-4EDD-B2FD-6FFC5577754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65" name="AutoShape 2">
          <a:extLst>
            <a:ext uri="{FF2B5EF4-FFF2-40B4-BE49-F238E27FC236}">
              <a16:creationId xmlns:a16="http://schemas.microsoft.com/office/drawing/2014/main" id="{F66D740B-16EB-42CB-8AD9-A43A6EF59E6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66" name="AutoShape 2">
          <a:extLst>
            <a:ext uri="{FF2B5EF4-FFF2-40B4-BE49-F238E27FC236}">
              <a16:creationId xmlns:a16="http://schemas.microsoft.com/office/drawing/2014/main" id="{6BEE8492-5FE5-48CD-87E5-A716AB38267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67" name="AutoShape 2">
          <a:extLst>
            <a:ext uri="{FF2B5EF4-FFF2-40B4-BE49-F238E27FC236}">
              <a16:creationId xmlns:a16="http://schemas.microsoft.com/office/drawing/2014/main" id="{6509AAC3-07E7-4D51-8545-4F71598BB12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68" name="AutoShape 2">
          <a:extLst>
            <a:ext uri="{FF2B5EF4-FFF2-40B4-BE49-F238E27FC236}">
              <a16:creationId xmlns:a16="http://schemas.microsoft.com/office/drawing/2014/main" id="{B33BBB07-A366-4C2E-AA0B-35750B91306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69" name="AutoShape 2">
          <a:extLst>
            <a:ext uri="{FF2B5EF4-FFF2-40B4-BE49-F238E27FC236}">
              <a16:creationId xmlns:a16="http://schemas.microsoft.com/office/drawing/2014/main" id="{61C23F93-4547-4129-B0F3-37AB94E9767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70" name="AutoShape 2">
          <a:extLst>
            <a:ext uri="{FF2B5EF4-FFF2-40B4-BE49-F238E27FC236}">
              <a16:creationId xmlns:a16="http://schemas.microsoft.com/office/drawing/2014/main" id="{1003EEC1-9636-4817-8631-A5E032D17B1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71" name="AutoShape 2">
          <a:extLst>
            <a:ext uri="{FF2B5EF4-FFF2-40B4-BE49-F238E27FC236}">
              <a16:creationId xmlns:a16="http://schemas.microsoft.com/office/drawing/2014/main" id="{FFA358E3-C56F-45B5-BB08-776B501F790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72" name="AutoShape 2">
          <a:extLst>
            <a:ext uri="{FF2B5EF4-FFF2-40B4-BE49-F238E27FC236}">
              <a16:creationId xmlns:a16="http://schemas.microsoft.com/office/drawing/2014/main" id="{A56E053E-E9DE-45B3-8906-620AA0630F8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73" name="AutoShape 2">
          <a:extLst>
            <a:ext uri="{FF2B5EF4-FFF2-40B4-BE49-F238E27FC236}">
              <a16:creationId xmlns:a16="http://schemas.microsoft.com/office/drawing/2014/main" id="{5AEEAA66-5F6A-4696-BD22-0AFBECD2EDD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74" name="AutoShape 2">
          <a:extLst>
            <a:ext uri="{FF2B5EF4-FFF2-40B4-BE49-F238E27FC236}">
              <a16:creationId xmlns:a16="http://schemas.microsoft.com/office/drawing/2014/main" id="{192397BD-4633-4354-B01A-DA58CB40FFB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75" name="AutoShape 2">
          <a:extLst>
            <a:ext uri="{FF2B5EF4-FFF2-40B4-BE49-F238E27FC236}">
              <a16:creationId xmlns:a16="http://schemas.microsoft.com/office/drawing/2014/main" id="{72EBFE19-F42D-404B-BE3D-AC02E51D3A5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76" name="AutoShape 2">
          <a:extLst>
            <a:ext uri="{FF2B5EF4-FFF2-40B4-BE49-F238E27FC236}">
              <a16:creationId xmlns:a16="http://schemas.microsoft.com/office/drawing/2014/main" id="{F5CA9497-1090-4F63-872B-EB9C7F689AE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77" name="AutoShape 2">
          <a:extLst>
            <a:ext uri="{FF2B5EF4-FFF2-40B4-BE49-F238E27FC236}">
              <a16:creationId xmlns:a16="http://schemas.microsoft.com/office/drawing/2014/main" id="{76AD79B9-4206-4085-81D9-07EE918C0AB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78" name="AutoShape 2">
          <a:extLst>
            <a:ext uri="{FF2B5EF4-FFF2-40B4-BE49-F238E27FC236}">
              <a16:creationId xmlns:a16="http://schemas.microsoft.com/office/drawing/2014/main" id="{8907680B-B2B7-4CEC-97C7-51BFC0935C2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79" name="AutoShape 2">
          <a:extLst>
            <a:ext uri="{FF2B5EF4-FFF2-40B4-BE49-F238E27FC236}">
              <a16:creationId xmlns:a16="http://schemas.microsoft.com/office/drawing/2014/main" id="{DD338E0E-0FE9-4A05-89FB-DCD620AE5F3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80" name="AutoShape 2">
          <a:extLst>
            <a:ext uri="{FF2B5EF4-FFF2-40B4-BE49-F238E27FC236}">
              <a16:creationId xmlns:a16="http://schemas.microsoft.com/office/drawing/2014/main" id="{E33AFFAE-D008-47F9-BE44-FC4033A859A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81" name="AutoShape 2">
          <a:extLst>
            <a:ext uri="{FF2B5EF4-FFF2-40B4-BE49-F238E27FC236}">
              <a16:creationId xmlns:a16="http://schemas.microsoft.com/office/drawing/2014/main" id="{3CDB4BD5-81F4-40DC-B452-6C9813163EE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82" name="AutoShape 2">
          <a:extLst>
            <a:ext uri="{FF2B5EF4-FFF2-40B4-BE49-F238E27FC236}">
              <a16:creationId xmlns:a16="http://schemas.microsoft.com/office/drawing/2014/main" id="{01926BF5-600D-4E95-A46B-03C9248E3C12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83" name="AutoShape 2">
          <a:extLst>
            <a:ext uri="{FF2B5EF4-FFF2-40B4-BE49-F238E27FC236}">
              <a16:creationId xmlns:a16="http://schemas.microsoft.com/office/drawing/2014/main" id="{EE5B3FFC-9D15-470C-B268-C6934EE0083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84" name="AutoShape 2">
          <a:extLst>
            <a:ext uri="{FF2B5EF4-FFF2-40B4-BE49-F238E27FC236}">
              <a16:creationId xmlns:a16="http://schemas.microsoft.com/office/drawing/2014/main" id="{F8ABCA42-F3C5-4AEB-858D-AA98682DE53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85" name="AutoShape 2">
          <a:extLst>
            <a:ext uri="{FF2B5EF4-FFF2-40B4-BE49-F238E27FC236}">
              <a16:creationId xmlns:a16="http://schemas.microsoft.com/office/drawing/2014/main" id="{4BFF3738-83F8-4DA3-BC7D-248D555D689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86" name="AutoShape 2">
          <a:extLst>
            <a:ext uri="{FF2B5EF4-FFF2-40B4-BE49-F238E27FC236}">
              <a16:creationId xmlns:a16="http://schemas.microsoft.com/office/drawing/2014/main" id="{B3DC224D-0886-46F7-AE53-16BE626B998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87" name="AutoShape 2">
          <a:extLst>
            <a:ext uri="{FF2B5EF4-FFF2-40B4-BE49-F238E27FC236}">
              <a16:creationId xmlns:a16="http://schemas.microsoft.com/office/drawing/2014/main" id="{F309689D-B8FF-4917-B826-72480569352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88" name="AutoShape 2">
          <a:extLst>
            <a:ext uri="{FF2B5EF4-FFF2-40B4-BE49-F238E27FC236}">
              <a16:creationId xmlns:a16="http://schemas.microsoft.com/office/drawing/2014/main" id="{AE372321-529D-4FBA-BB39-8A906B5A23F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89" name="AutoShape 2">
          <a:extLst>
            <a:ext uri="{FF2B5EF4-FFF2-40B4-BE49-F238E27FC236}">
              <a16:creationId xmlns:a16="http://schemas.microsoft.com/office/drawing/2014/main" id="{5A4C4FF0-081A-4B33-9F07-21A648D1E87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90" name="AutoShape 2">
          <a:extLst>
            <a:ext uri="{FF2B5EF4-FFF2-40B4-BE49-F238E27FC236}">
              <a16:creationId xmlns:a16="http://schemas.microsoft.com/office/drawing/2014/main" id="{B3E866A8-3820-4C40-857D-0D69E764BC7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91" name="AutoShape 2">
          <a:extLst>
            <a:ext uri="{FF2B5EF4-FFF2-40B4-BE49-F238E27FC236}">
              <a16:creationId xmlns:a16="http://schemas.microsoft.com/office/drawing/2014/main" id="{7697952B-16A7-4559-A1EB-778693D7D0E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92" name="AutoShape 2">
          <a:extLst>
            <a:ext uri="{FF2B5EF4-FFF2-40B4-BE49-F238E27FC236}">
              <a16:creationId xmlns:a16="http://schemas.microsoft.com/office/drawing/2014/main" id="{6D47C197-7FF1-4E1C-88A6-EEB73DB91CE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93" name="AutoShape 2">
          <a:extLst>
            <a:ext uri="{FF2B5EF4-FFF2-40B4-BE49-F238E27FC236}">
              <a16:creationId xmlns:a16="http://schemas.microsoft.com/office/drawing/2014/main" id="{659C3FF4-6CD9-423D-B356-9A9227E4B9F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94" name="AutoShape 2">
          <a:extLst>
            <a:ext uri="{FF2B5EF4-FFF2-40B4-BE49-F238E27FC236}">
              <a16:creationId xmlns:a16="http://schemas.microsoft.com/office/drawing/2014/main" id="{FFA7D095-CFD2-4D60-A92C-1CEF80C8A0E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95" name="AutoShape 2">
          <a:extLst>
            <a:ext uri="{FF2B5EF4-FFF2-40B4-BE49-F238E27FC236}">
              <a16:creationId xmlns:a16="http://schemas.microsoft.com/office/drawing/2014/main" id="{09A9415C-3E99-496F-8D2E-42C7B146437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96" name="AutoShape 2">
          <a:extLst>
            <a:ext uri="{FF2B5EF4-FFF2-40B4-BE49-F238E27FC236}">
              <a16:creationId xmlns:a16="http://schemas.microsoft.com/office/drawing/2014/main" id="{50C408C4-62AE-40E8-B7DF-A53DA2D84C3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97" name="AutoShape 2">
          <a:extLst>
            <a:ext uri="{FF2B5EF4-FFF2-40B4-BE49-F238E27FC236}">
              <a16:creationId xmlns:a16="http://schemas.microsoft.com/office/drawing/2014/main" id="{DA2EC2F6-B22E-42CA-B791-8EBB4FD3727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98" name="AutoShape 2">
          <a:extLst>
            <a:ext uri="{FF2B5EF4-FFF2-40B4-BE49-F238E27FC236}">
              <a16:creationId xmlns:a16="http://schemas.microsoft.com/office/drawing/2014/main" id="{BEF80B4D-CF04-4854-B1EF-3BCE8E4D05C2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199" name="AutoShape 2">
          <a:extLst>
            <a:ext uri="{FF2B5EF4-FFF2-40B4-BE49-F238E27FC236}">
              <a16:creationId xmlns:a16="http://schemas.microsoft.com/office/drawing/2014/main" id="{B071D289-54E9-451F-BCC2-C2220FACB83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00" name="AutoShape 2">
          <a:extLst>
            <a:ext uri="{FF2B5EF4-FFF2-40B4-BE49-F238E27FC236}">
              <a16:creationId xmlns:a16="http://schemas.microsoft.com/office/drawing/2014/main" id="{370F0CAD-9EE7-4D59-9271-16458EFC18A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01" name="AutoShape 2">
          <a:extLst>
            <a:ext uri="{FF2B5EF4-FFF2-40B4-BE49-F238E27FC236}">
              <a16:creationId xmlns:a16="http://schemas.microsoft.com/office/drawing/2014/main" id="{82784FA7-697E-4D3B-A741-B44EB5864A3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02" name="AutoShape 2">
          <a:extLst>
            <a:ext uri="{FF2B5EF4-FFF2-40B4-BE49-F238E27FC236}">
              <a16:creationId xmlns:a16="http://schemas.microsoft.com/office/drawing/2014/main" id="{55747F21-80F3-487B-9720-F3F88AD3D28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03" name="AutoShape 2">
          <a:extLst>
            <a:ext uri="{FF2B5EF4-FFF2-40B4-BE49-F238E27FC236}">
              <a16:creationId xmlns:a16="http://schemas.microsoft.com/office/drawing/2014/main" id="{080A1D06-0DBF-4875-9108-21F446E7C8F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04" name="AutoShape 2">
          <a:extLst>
            <a:ext uri="{FF2B5EF4-FFF2-40B4-BE49-F238E27FC236}">
              <a16:creationId xmlns:a16="http://schemas.microsoft.com/office/drawing/2014/main" id="{49A86DBD-586E-4628-AEA5-94012067255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05" name="AutoShape 2">
          <a:extLst>
            <a:ext uri="{FF2B5EF4-FFF2-40B4-BE49-F238E27FC236}">
              <a16:creationId xmlns:a16="http://schemas.microsoft.com/office/drawing/2014/main" id="{569A9607-52CB-453D-BAB2-11BC3617F7F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06" name="AutoShape 2">
          <a:extLst>
            <a:ext uri="{FF2B5EF4-FFF2-40B4-BE49-F238E27FC236}">
              <a16:creationId xmlns:a16="http://schemas.microsoft.com/office/drawing/2014/main" id="{88A6E8EB-F723-4F55-B1BC-C85EA5D4BDA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07" name="AutoShape 2">
          <a:extLst>
            <a:ext uri="{FF2B5EF4-FFF2-40B4-BE49-F238E27FC236}">
              <a16:creationId xmlns:a16="http://schemas.microsoft.com/office/drawing/2014/main" id="{4844B1C7-6DCB-4098-BE9D-957961D15C4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08" name="AutoShape 2">
          <a:extLst>
            <a:ext uri="{FF2B5EF4-FFF2-40B4-BE49-F238E27FC236}">
              <a16:creationId xmlns:a16="http://schemas.microsoft.com/office/drawing/2014/main" id="{E501A55E-B77F-4255-BED9-9B55934B99A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09" name="AutoShape 2">
          <a:extLst>
            <a:ext uri="{FF2B5EF4-FFF2-40B4-BE49-F238E27FC236}">
              <a16:creationId xmlns:a16="http://schemas.microsoft.com/office/drawing/2014/main" id="{5FB91122-25C5-4B19-AD94-A5BB76EAD4E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10" name="AutoShape 2">
          <a:extLst>
            <a:ext uri="{FF2B5EF4-FFF2-40B4-BE49-F238E27FC236}">
              <a16:creationId xmlns:a16="http://schemas.microsoft.com/office/drawing/2014/main" id="{7D15B311-49B1-450C-AB15-4630631C7F2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11" name="AutoShape 2">
          <a:extLst>
            <a:ext uri="{FF2B5EF4-FFF2-40B4-BE49-F238E27FC236}">
              <a16:creationId xmlns:a16="http://schemas.microsoft.com/office/drawing/2014/main" id="{C46A1019-0F15-4773-96F8-A9C6DDFD92F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12" name="AutoShape 2">
          <a:extLst>
            <a:ext uri="{FF2B5EF4-FFF2-40B4-BE49-F238E27FC236}">
              <a16:creationId xmlns:a16="http://schemas.microsoft.com/office/drawing/2014/main" id="{C1413574-9975-4208-BE0A-EE7DC29CB1C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13" name="AutoShape 2">
          <a:extLst>
            <a:ext uri="{FF2B5EF4-FFF2-40B4-BE49-F238E27FC236}">
              <a16:creationId xmlns:a16="http://schemas.microsoft.com/office/drawing/2014/main" id="{77E0ADFE-D110-47A3-BC60-590FB74F1EC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14" name="AutoShape 2">
          <a:extLst>
            <a:ext uri="{FF2B5EF4-FFF2-40B4-BE49-F238E27FC236}">
              <a16:creationId xmlns:a16="http://schemas.microsoft.com/office/drawing/2014/main" id="{B0F8C4BB-969F-4E33-9AB9-5F3F1D41482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15" name="AutoShape 2">
          <a:extLst>
            <a:ext uri="{FF2B5EF4-FFF2-40B4-BE49-F238E27FC236}">
              <a16:creationId xmlns:a16="http://schemas.microsoft.com/office/drawing/2014/main" id="{FD51D8EF-7058-4202-9A36-31E8E023477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16" name="AutoShape 2">
          <a:extLst>
            <a:ext uri="{FF2B5EF4-FFF2-40B4-BE49-F238E27FC236}">
              <a16:creationId xmlns:a16="http://schemas.microsoft.com/office/drawing/2014/main" id="{65F7CF5E-4A82-4874-A020-3712A68EC98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17" name="AutoShape 2">
          <a:extLst>
            <a:ext uri="{FF2B5EF4-FFF2-40B4-BE49-F238E27FC236}">
              <a16:creationId xmlns:a16="http://schemas.microsoft.com/office/drawing/2014/main" id="{D3DAC41F-AB85-4A50-9E27-F0FCE8DCFD9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18" name="AutoShape 2">
          <a:extLst>
            <a:ext uri="{FF2B5EF4-FFF2-40B4-BE49-F238E27FC236}">
              <a16:creationId xmlns:a16="http://schemas.microsoft.com/office/drawing/2014/main" id="{88BE92ED-6AB1-4F41-AA05-DCDADA31B5E2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19" name="AutoShape 2">
          <a:extLst>
            <a:ext uri="{FF2B5EF4-FFF2-40B4-BE49-F238E27FC236}">
              <a16:creationId xmlns:a16="http://schemas.microsoft.com/office/drawing/2014/main" id="{FBC8239F-B965-4983-B328-770110122A8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20" name="AutoShape 2">
          <a:extLst>
            <a:ext uri="{FF2B5EF4-FFF2-40B4-BE49-F238E27FC236}">
              <a16:creationId xmlns:a16="http://schemas.microsoft.com/office/drawing/2014/main" id="{1E6FBBA7-2071-4B3D-BC08-1E7EFDB59B2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21" name="AutoShape 2">
          <a:extLst>
            <a:ext uri="{FF2B5EF4-FFF2-40B4-BE49-F238E27FC236}">
              <a16:creationId xmlns:a16="http://schemas.microsoft.com/office/drawing/2014/main" id="{3F5205C3-5350-4171-96C4-5728267FDEE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22" name="AutoShape 2">
          <a:extLst>
            <a:ext uri="{FF2B5EF4-FFF2-40B4-BE49-F238E27FC236}">
              <a16:creationId xmlns:a16="http://schemas.microsoft.com/office/drawing/2014/main" id="{F814CFB0-44E6-473F-97F3-3EC207B7529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23" name="AutoShape 2">
          <a:extLst>
            <a:ext uri="{FF2B5EF4-FFF2-40B4-BE49-F238E27FC236}">
              <a16:creationId xmlns:a16="http://schemas.microsoft.com/office/drawing/2014/main" id="{3B8FDC39-766A-4380-B2C9-3CDC90475BD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24" name="AutoShape 2">
          <a:extLst>
            <a:ext uri="{FF2B5EF4-FFF2-40B4-BE49-F238E27FC236}">
              <a16:creationId xmlns:a16="http://schemas.microsoft.com/office/drawing/2014/main" id="{9523AFFD-6AD8-4936-92BE-4D3D3F82AD3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25" name="AutoShape 2">
          <a:extLst>
            <a:ext uri="{FF2B5EF4-FFF2-40B4-BE49-F238E27FC236}">
              <a16:creationId xmlns:a16="http://schemas.microsoft.com/office/drawing/2014/main" id="{38DECC6A-EBB7-4AA1-9DC3-32E7453E949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26" name="AutoShape 2">
          <a:extLst>
            <a:ext uri="{FF2B5EF4-FFF2-40B4-BE49-F238E27FC236}">
              <a16:creationId xmlns:a16="http://schemas.microsoft.com/office/drawing/2014/main" id="{6F6140D2-FF4D-473B-AD57-EE18C224C15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27" name="AutoShape 2">
          <a:extLst>
            <a:ext uri="{FF2B5EF4-FFF2-40B4-BE49-F238E27FC236}">
              <a16:creationId xmlns:a16="http://schemas.microsoft.com/office/drawing/2014/main" id="{A8FFBA88-D57A-48CA-8478-F37C22A85D7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28" name="AutoShape 2">
          <a:extLst>
            <a:ext uri="{FF2B5EF4-FFF2-40B4-BE49-F238E27FC236}">
              <a16:creationId xmlns:a16="http://schemas.microsoft.com/office/drawing/2014/main" id="{12E26881-FA81-430B-9080-894ED3342DA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29" name="AutoShape 2">
          <a:extLst>
            <a:ext uri="{FF2B5EF4-FFF2-40B4-BE49-F238E27FC236}">
              <a16:creationId xmlns:a16="http://schemas.microsoft.com/office/drawing/2014/main" id="{D653CE5F-CCF3-4D81-9D16-C663034F6F2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30" name="AutoShape 2">
          <a:extLst>
            <a:ext uri="{FF2B5EF4-FFF2-40B4-BE49-F238E27FC236}">
              <a16:creationId xmlns:a16="http://schemas.microsoft.com/office/drawing/2014/main" id="{7218B670-503A-4FF6-9159-2C4CD841523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31" name="AutoShape 2">
          <a:extLst>
            <a:ext uri="{FF2B5EF4-FFF2-40B4-BE49-F238E27FC236}">
              <a16:creationId xmlns:a16="http://schemas.microsoft.com/office/drawing/2014/main" id="{0CBE9069-9AF3-4DD2-9BED-9EFF33A0FC9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32" name="AutoShape 2">
          <a:extLst>
            <a:ext uri="{FF2B5EF4-FFF2-40B4-BE49-F238E27FC236}">
              <a16:creationId xmlns:a16="http://schemas.microsoft.com/office/drawing/2014/main" id="{26F843F0-C307-4123-8959-9B6BE787851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33" name="AutoShape 2">
          <a:extLst>
            <a:ext uri="{FF2B5EF4-FFF2-40B4-BE49-F238E27FC236}">
              <a16:creationId xmlns:a16="http://schemas.microsoft.com/office/drawing/2014/main" id="{D06D5247-C9DB-43DE-B4A6-667B5826B92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34" name="AutoShape 2">
          <a:extLst>
            <a:ext uri="{FF2B5EF4-FFF2-40B4-BE49-F238E27FC236}">
              <a16:creationId xmlns:a16="http://schemas.microsoft.com/office/drawing/2014/main" id="{10859F00-C7FF-4D3C-B1DB-B407262D409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35" name="AutoShape 2">
          <a:extLst>
            <a:ext uri="{FF2B5EF4-FFF2-40B4-BE49-F238E27FC236}">
              <a16:creationId xmlns:a16="http://schemas.microsoft.com/office/drawing/2014/main" id="{253F3E5C-5029-45F8-AAA1-E50CAD21367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36" name="AutoShape 2">
          <a:extLst>
            <a:ext uri="{FF2B5EF4-FFF2-40B4-BE49-F238E27FC236}">
              <a16:creationId xmlns:a16="http://schemas.microsoft.com/office/drawing/2014/main" id="{3CF4756B-2437-46CF-9661-F5FE7811C0B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37" name="AutoShape 2">
          <a:extLst>
            <a:ext uri="{FF2B5EF4-FFF2-40B4-BE49-F238E27FC236}">
              <a16:creationId xmlns:a16="http://schemas.microsoft.com/office/drawing/2014/main" id="{57380B0F-1F08-4F25-BD1D-377923FB81E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38" name="AutoShape 2">
          <a:extLst>
            <a:ext uri="{FF2B5EF4-FFF2-40B4-BE49-F238E27FC236}">
              <a16:creationId xmlns:a16="http://schemas.microsoft.com/office/drawing/2014/main" id="{4E18A116-A097-498C-8D7F-86080F6A132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39" name="AutoShape 2">
          <a:extLst>
            <a:ext uri="{FF2B5EF4-FFF2-40B4-BE49-F238E27FC236}">
              <a16:creationId xmlns:a16="http://schemas.microsoft.com/office/drawing/2014/main" id="{16F52C78-E7A4-4B2C-8FED-1B83A75557C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40" name="AutoShape 2">
          <a:extLst>
            <a:ext uri="{FF2B5EF4-FFF2-40B4-BE49-F238E27FC236}">
              <a16:creationId xmlns:a16="http://schemas.microsoft.com/office/drawing/2014/main" id="{E092FC96-2BEB-475C-BBD8-C690CF18E12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41" name="AutoShape 2">
          <a:extLst>
            <a:ext uri="{FF2B5EF4-FFF2-40B4-BE49-F238E27FC236}">
              <a16:creationId xmlns:a16="http://schemas.microsoft.com/office/drawing/2014/main" id="{98120D29-2F54-4B13-9DE3-B95E0A291CF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42" name="AutoShape 2">
          <a:extLst>
            <a:ext uri="{FF2B5EF4-FFF2-40B4-BE49-F238E27FC236}">
              <a16:creationId xmlns:a16="http://schemas.microsoft.com/office/drawing/2014/main" id="{74ED900D-A98A-4082-AB9B-8E3730BAB6A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43" name="AutoShape 2">
          <a:extLst>
            <a:ext uri="{FF2B5EF4-FFF2-40B4-BE49-F238E27FC236}">
              <a16:creationId xmlns:a16="http://schemas.microsoft.com/office/drawing/2014/main" id="{56C7ABE8-4D14-45D2-BED6-DC903694FB9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44" name="AutoShape 2">
          <a:extLst>
            <a:ext uri="{FF2B5EF4-FFF2-40B4-BE49-F238E27FC236}">
              <a16:creationId xmlns:a16="http://schemas.microsoft.com/office/drawing/2014/main" id="{0D2C66AA-9765-48D1-BC66-2713F5FD365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45" name="AutoShape 2">
          <a:extLst>
            <a:ext uri="{FF2B5EF4-FFF2-40B4-BE49-F238E27FC236}">
              <a16:creationId xmlns:a16="http://schemas.microsoft.com/office/drawing/2014/main" id="{352C60D0-4D02-4F42-95A4-7EE9E33CC36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46" name="AutoShape 2">
          <a:extLst>
            <a:ext uri="{FF2B5EF4-FFF2-40B4-BE49-F238E27FC236}">
              <a16:creationId xmlns:a16="http://schemas.microsoft.com/office/drawing/2014/main" id="{B07D17E3-96FA-4043-89C9-387D22EFD67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47" name="AutoShape 2">
          <a:extLst>
            <a:ext uri="{FF2B5EF4-FFF2-40B4-BE49-F238E27FC236}">
              <a16:creationId xmlns:a16="http://schemas.microsoft.com/office/drawing/2014/main" id="{4D884E59-7631-4C7F-9C6F-F7F17996ABA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48" name="AutoShape 2">
          <a:extLst>
            <a:ext uri="{FF2B5EF4-FFF2-40B4-BE49-F238E27FC236}">
              <a16:creationId xmlns:a16="http://schemas.microsoft.com/office/drawing/2014/main" id="{80EB91E8-EF72-4837-B97E-1E068EFBB55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49" name="AutoShape 2">
          <a:extLst>
            <a:ext uri="{FF2B5EF4-FFF2-40B4-BE49-F238E27FC236}">
              <a16:creationId xmlns:a16="http://schemas.microsoft.com/office/drawing/2014/main" id="{49D7DA4E-FD79-438F-9DA6-63B9968DEE7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50" name="AutoShape 2">
          <a:extLst>
            <a:ext uri="{FF2B5EF4-FFF2-40B4-BE49-F238E27FC236}">
              <a16:creationId xmlns:a16="http://schemas.microsoft.com/office/drawing/2014/main" id="{FCBD5875-752D-4329-8018-8E70D854906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51" name="AutoShape 2">
          <a:extLst>
            <a:ext uri="{FF2B5EF4-FFF2-40B4-BE49-F238E27FC236}">
              <a16:creationId xmlns:a16="http://schemas.microsoft.com/office/drawing/2014/main" id="{5FA09EE3-BC32-45BA-8285-FA9E5E036C3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52" name="AutoShape 2">
          <a:extLst>
            <a:ext uri="{FF2B5EF4-FFF2-40B4-BE49-F238E27FC236}">
              <a16:creationId xmlns:a16="http://schemas.microsoft.com/office/drawing/2014/main" id="{746060C0-506B-4E6C-BECD-11E298702C3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53" name="AutoShape 2">
          <a:extLst>
            <a:ext uri="{FF2B5EF4-FFF2-40B4-BE49-F238E27FC236}">
              <a16:creationId xmlns:a16="http://schemas.microsoft.com/office/drawing/2014/main" id="{B70C321E-3FD4-4CDA-8E0E-08C95F324B2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54" name="AutoShape 2">
          <a:extLst>
            <a:ext uri="{FF2B5EF4-FFF2-40B4-BE49-F238E27FC236}">
              <a16:creationId xmlns:a16="http://schemas.microsoft.com/office/drawing/2014/main" id="{F2C5FAEA-73C3-4E91-9D57-78E402C733D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55" name="AutoShape 2">
          <a:extLst>
            <a:ext uri="{FF2B5EF4-FFF2-40B4-BE49-F238E27FC236}">
              <a16:creationId xmlns:a16="http://schemas.microsoft.com/office/drawing/2014/main" id="{D1DEF8CD-AB23-46F2-85F4-000BF00477B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56" name="AutoShape 2">
          <a:extLst>
            <a:ext uri="{FF2B5EF4-FFF2-40B4-BE49-F238E27FC236}">
              <a16:creationId xmlns:a16="http://schemas.microsoft.com/office/drawing/2014/main" id="{6A7BB28C-2D98-49AB-813A-B3A6B1AF49A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57" name="AutoShape 2">
          <a:extLst>
            <a:ext uri="{FF2B5EF4-FFF2-40B4-BE49-F238E27FC236}">
              <a16:creationId xmlns:a16="http://schemas.microsoft.com/office/drawing/2014/main" id="{05DA84EE-01AE-4CD1-B923-460AD7C5D82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58" name="AutoShape 2">
          <a:extLst>
            <a:ext uri="{FF2B5EF4-FFF2-40B4-BE49-F238E27FC236}">
              <a16:creationId xmlns:a16="http://schemas.microsoft.com/office/drawing/2014/main" id="{3817C4FA-D649-4134-AC23-5988ECD937B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59" name="AutoShape 2">
          <a:extLst>
            <a:ext uri="{FF2B5EF4-FFF2-40B4-BE49-F238E27FC236}">
              <a16:creationId xmlns:a16="http://schemas.microsoft.com/office/drawing/2014/main" id="{114D3F9F-D670-468E-A22E-77304C877F7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60" name="AutoShape 2">
          <a:extLst>
            <a:ext uri="{FF2B5EF4-FFF2-40B4-BE49-F238E27FC236}">
              <a16:creationId xmlns:a16="http://schemas.microsoft.com/office/drawing/2014/main" id="{86DF5D18-0C23-4318-8EBD-223A4133B7F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61" name="AutoShape 2">
          <a:extLst>
            <a:ext uri="{FF2B5EF4-FFF2-40B4-BE49-F238E27FC236}">
              <a16:creationId xmlns:a16="http://schemas.microsoft.com/office/drawing/2014/main" id="{DF678D0E-D0BC-4CB5-9F95-2EEA44A5700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62" name="AutoShape 2">
          <a:extLst>
            <a:ext uri="{FF2B5EF4-FFF2-40B4-BE49-F238E27FC236}">
              <a16:creationId xmlns:a16="http://schemas.microsoft.com/office/drawing/2014/main" id="{23CFBCFD-052D-4934-9D14-5CB324429EB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63" name="AutoShape 2">
          <a:extLst>
            <a:ext uri="{FF2B5EF4-FFF2-40B4-BE49-F238E27FC236}">
              <a16:creationId xmlns:a16="http://schemas.microsoft.com/office/drawing/2014/main" id="{F95672D0-1557-42F9-B8F1-9ECDE70B7E9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64" name="AutoShape 2">
          <a:extLst>
            <a:ext uri="{FF2B5EF4-FFF2-40B4-BE49-F238E27FC236}">
              <a16:creationId xmlns:a16="http://schemas.microsoft.com/office/drawing/2014/main" id="{6B305513-B8C9-4B89-8E43-695EECC4EB6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65" name="AutoShape 2">
          <a:extLst>
            <a:ext uri="{FF2B5EF4-FFF2-40B4-BE49-F238E27FC236}">
              <a16:creationId xmlns:a16="http://schemas.microsoft.com/office/drawing/2014/main" id="{0064B4F7-58CA-4C25-A3E2-2E16A20B77C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66" name="AutoShape 2">
          <a:extLst>
            <a:ext uri="{FF2B5EF4-FFF2-40B4-BE49-F238E27FC236}">
              <a16:creationId xmlns:a16="http://schemas.microsoft.com/office/drawing/2014/main" id="{4E51A903-718A-4E4A-B88E-EF96984B4B7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67" name="AutoShape 2">
          <a:extLst>
            <a:ext uri="{FF2B5EF4-FFF2-40B4-BE49-F238E27FC236}">
              <a16:creationId xmlns:a16="http://schemas.microsoft.com/office/drawing/2014/main" id="{67C89885-34E3-4561-9E36-CB936B69122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68" name="AutoShape 2">
          <a:extLst>
            <a:ext uri="{FF2B5EF4-FFF2-40B4-BE49-F238E27FC236}">
              <a16:creationId xmlns:a16="http://schemas.microsoft.com/office/drawing/2014/main" id="{A928CB3A-46D6-41F0-9713-F0E24F1584F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69" name="AutoShape 2">
          <a:extLst>
            <a:ext uri="{FF2B5EF4-FFF2-40B4-BE49-F238E27FC236}">
              <a16:creationId xmlns:a16="http://schemas.microsoft.com/office/drawing/2014/main" id="{CD982241-F6F2-432F-89A0-E007755C60C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70" name="AutoShape 2">
          <a:extLst>
            <a:ext uri="{FF2B5EF4-FFF2-40B4-BE49-F238E27FC236}">
              <a16:creationId xmlns:a16="http://schemas.microsoft.com/office/drawing/2014/main" id="{E2B0C11F-0A89-429B-9AB2-DE163319B78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71" name="AutoShape 2">
          <a:extLst>
            <a:ext uri="{FF2B5EF4-FFF2-40B4-BE49-F238E27FC236}">
              <a16:creationId xmlns:a16="http://schemas.microsoft.com/office/drawing/2014/main" id="{1729ACF8-266A-4840-B2A3-F16587FD8F5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72" name="AutoShape 2">
          <a:extLst>
            <a:ext uri="{FF2B5EF4-FFF2-40B4-BE49-F238E27FC236}">
              <a16:creationId xmlns:a16="http://schemas.microsoft.com/office/drawing/2014/main" id="{23BE7286-4826-4187-B9A7-162EC888C72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73" name="AutoShape 2">
          <a:extLst>
            <a:ext uri="{FF2B5EF4-FFF2-40B4-BE49-F238E27FC236}">
              <a16:creationId xmlns:a16="http://schemas.microsoft.com/office/drawing/2014/main" id="{ECD3351C-D5B1-42A2-B43B-4CB94318382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74" name="AutoShape 2">
          <a:extLst>
            <a:ext uri="{FF2B5EF4-FFF2-40B4-BE49-F238E27FC236}">
              <a16:creationId xmlns:a16="http://schemas.microsoft.com/office/drawing/2014/main" id="{E3FA210E-D321-4076-8A57-CEC586CF8CA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75" name="AutoShape 2">
          <a:extLst>
            <a:ext uri="{FF2B5EF4-FFF2-40B4-BE49-F238E27FC236}">
              <a16:creationId xmlns:a16="http://schemas.microsoft.com/office/drawing/2014/main" id="{A54337C2-A1EF-44CC-8E90-4D21AA1E666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76" name="AutoShape 2">
          <a:extLst>
            <a:ext uri="{FF2B5EF4-FFF2-40B4-BE49-F238E27FC236}">
              <a16:creationId xmlns:a16="http://schemas.microsoft.com/office/drawing/2014/main" id="{73C920A3-466D-4361-B190-030D031D829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77" name="AutoShape 2">
          <a:extLst>
            <a:ext uri="{FF2B5EF4-FFF2-40B4-BE49-F238E27FC236}">
              <a16:creationId xmlns:a16="http://schemas.microsoft.com/office/drawing/2014/main" id="{ACF2946C-7049-4341-8BBE-FA8E9CB0E5B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78" name="AutoShape 2">
          <a:extLst>
            <a:ext uri="{FF2B5EF4-FFF2-40B4-BE49-F238E27FC236}">
              <a16:creationId xmlns:a16="http://schemas.microsoft.com/office/drawing/2014/main" id="{30040E8F-DC4F-4246-B0F2-BC1322FCE852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79" name="AutoShape 2">
          <a:extLst>
            <a:ext uri="{FF2B5EF4-FFF2-40B4-BE49-F238E27FC236}">
              <a16:creationId xmlns:a16="http://schemas.microsoft.com/office/drawing/2014/main" id="{CA88F613-4831-4E9B-B6A9-A868F33F092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80" name="AutoShape 2">
          <a:extLst>
            <a:ext uri="{FF2B5EF4-FFF2-40B4-BE49-F238E27FC236}">
              <a16:creationId xmlns:a16="http://schemas.microsoft.com/office/drawing/2014/main" id="{A5A2F4DC-5CB7-4EC9-875E-BDD7841DD45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81" name="AutoShape 2">
          <a:extLst>
            <a:ext uri="{FF2B5EF4-FFF2-40B4-BE49-F238E27FC236}">
              <a16:creationId xmlns:a16="http://schemas.microsoft.com/office/drawing/2014/main" id="{A530AB5B-B74B-46A1-B450-BAAD3F9749B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82" name="AutoShape 2">
          <a:extLst>
            <a:ext uri="{FF2B5EF4-FFF2-40B4-BE49-F238E27FC236}">
              <a16:creationId xmlns:a16="http://schemas.microsoft.com/office/drawing/2014/main" id="{27AE48E9-7364-4790-95E0-4CD308D0C0B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83" name="AutoShape 2">
          <a:extLst>
            <a:ext uri="{FF2B5EF4-FFF2-40B4-BE49-F238E27FC236}">
              <a16:creationId xmlns:a16="http://schemas.microsoft.com/office/drawing/2014/main" id="{4E235F8B-AE10-4577-A0E2-10997320E2A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84" name="AutoShape 2">
          <a:extLst>
            <a:ext uri="{FF2B5EF4-FFF2-40B4-BE49-F238E27FC236}">
              <a16:creationId xmlns:a16="http://schemas.microsoft.com/office/drawing/2014/main" id="{FACAF123-DC3F-4FE2-A14C-A92F2DDB0BB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85" name="AutoShape 2">
          <a:extLst>
            <a:ext uri="{FF2B5EF4-FFF2-40B4-BE49-F238E27FC236}">
              <a16:creationId xmlns:a16="http://schemas.microsoft.com/office/drawing/2014/main" id="{86372DA8-FFA9-4B73-A0C3-C2E64DB8EEF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86" name="AutoShape 2">
          <a:extLst>
            <a:ext uri="{FF2B5EF4-FFF2-40B4-BE49-F238E27FC236}">
              <a16:creationId xmlns:a16="http://schemas.microsoft.com/office/drawing/2014/main" id="{E4796A9E-F3EE-4DB3-A869-09009222544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87" name="AutoShape 2">
          <a:extLst>
            <a:ext uri="{FF2B5EF4-FFF2-40B4-BE49-F238E27FC236}">
              <a16:creationId xmlns:a16="http://schemas.microsoft.com/office/drawing/2014/main" id="{3D8D88F6-BFDA-477F-AC3F-31D69F02428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88" name="AutoShape 2">
          <a:extLst>
            <a:ext uri="{FF2B5EF4-FFF2-40B4-BE49-F238E27FC236}">
              <a16:creationId xmlns:a16="http://schemas.microsoft.com/office/drawing/2014/main" id="{82590501-A958-442E-B458-BB3617A777B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89" name="AutoShape 2">
          <a:extLst>
            <a:ext uri="{FF2B5EF4-FFF2-40B4-BE49-F238E27FC236}">
              <a16:creationId xmlns:a16="http://schemas.microsoft.com/office/drawing/2014/main" id="{4659D4F0-5BD1-4162-8176-E97CF642502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90" name="AutoShape 2">
          <a:extLst>
            <a:ext uri="{FF2B5EF4-FFF2-40B4-BE49-F238E27FC236}">
              <a16:creationId xmlns:a16="http://schemas.microsoft.com/office/drawing/2014/main" id="{6B6E24A2-B538-4DA5-9807-24DC882975A2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91" name="AutoShape 2">
          <a:extLst>
            <a:ext uri="{FF2B5EF4-FFF2-40B4-BE49-F238E27FC236}">
              <a16:creationId xmlns:a16="http://schemas.microsoft.com/office/drawing/2014/main" id="{57E1D915-0FA5-4FC0-9E6A-6B690E8125A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92" name="AutoShape 2">
          <a:extLst>
            <a:ext uri="{FF2B5EF4-FFF2-40B4-BE49-F238E27FC236}">
              <a16:creationId xmlns:a16="http://schemas.microsoft.com/office/drawing/2014/main" id="{9E21624F-D7FE-424F-A26D-64047293A16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93" name="AutoShape 2">
          <a:extLst>
            <a:ext uri="{FF2B5EF4-FFF2-40B4-BE49-F238E27FC236}">
              <a16:creationId xmlns:a16="http://schemas.microsoft.com/office/drawing/2014/main" id="{BFED2107-64CC-4719-BBDA-7633170F58E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94" name="AutoShape 2">
          <a:extLst>
            <a:ext uri="{FF2B5EF4-FFF2-40B4-BE49-F238E27FC236}">
              <a16:creationId xmlns:a16="http://schemas.microsoft.com/office/drawing/2014/main" id="{2D53DDC4-C1F2-470E-9134-36B8885DED4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95" name="AutoShape 2">
          <a:extLst>
            <a:ext uri="{FF2B5EF4-FFF2-40B4-BE49-F238E27FC236}">
              <a16:creationId xmlns:a16="http://schemas.microsoft.com/office/drawing/2014/main" id="{C281D9A7-1914-41EA-8626-1B98AA83793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96" name="AutoShape 2">
          <a:extLst>
            <a:ext uri="{FF2B5EF4-FFF2-40B4-BE49-F238E27FC236}">
              <a16:creationId xmlns:a16="http://schemas.microsoft.com/office/drawing/2014/main" id="{7E38415A-E708-4EE6-8A63-5D2DCB053D1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97" name="AutoShape 2">
          <a:extLst>
            <a:ext uri="{FF2B5EF4-FFF2-40B4-BE49-F238E27FC236}">
              <a16:creationId xmlns:a16="http://schemas.microsoft.com/office/drawing/2014/main" id="{2C2DBB7C-BE83-43B8-A7F8-86605AC5003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98" name="AutoShape 2">
          <a:extLst>
            <a:ext uri="{FF2B5EF4-FFF2-40B4-BE49-F238E27FC236}">
              <a16:creationId xmlns:a16="http://schemas.microsoft.com/office/drawing/2014/main" id="{A715B7AE-4617-4EEB-BC9A-9436B1CAA18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299" name="AutoShape 2">
          <a:extLst>
            <a:ext uri="{FF2B5EF4-FFF2-40B4-BE49-F238E27FC236}">
              <a16:creationId xmlns:a16="http://schemas.microsoft.com/office/drawing/2014/main" id="{B23D5FFE-23C0-4E2D-A836-D6A2E91FE3E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00" name="AutoShape 2">
          <a:extLst>
            <a:ext uri="{FF2B5EF4-FFF2-40B4-BE49-F238E27FC236}">
              <a16:creationId xmlns:a16="http://schemas.microsoft.com/office/drawing/2014/main" id="{475EEC9E-5005-4557-A353-413403EE3C7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01" name="AutoShape 2">
          <a:extLst>
            <a:ext uri="{FF2B5EF4-FFF2-40B4-BE49-F238E27FC236}">
              <a16:creationId xmlns:a16="http://schemas.microsoft.com/office/drawing/2014/main" id="{0B1F44D2-89CE-4CFD-B7E3-FCB92A5AE6D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02" name="AutoShape 2">
          <a:extLst>
            <a:ext uri="{FF2B5EF4-FFF2-40B4-BE49-F238E27FC236}">
              <a16:creationId xmlns:a16="http://schemas.microsoft.com/office/drawing/2014/main" id="{A95F4D21-7AF3-409D-A165-A4AC6432E42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03" name="AutoShape 2">
          <a:extLst>
            <a:ext uri="{FF2B5EF4-FFF2-40B4-BE49-F238E27FC236}">
              <a16:creationId xmlns:a16="http://schemas.microsoft.com/office/drawing/2014/main" id="{9088620D-59D9-47EE-B8ED-7F89BCACA59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04" name="AutoShape 2">
          <a:extLst>
            <a:ext uri="{FF2B5EF4-FFF2-40B4-BE49-F238E27FC236}">
              <a16:creationId xmlns:a16="http://schemas.microsoft.com/office/drawing/2014/main" id="{07AE36D4-BE91-4FBE-B57A-2E874388C5D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05" name="AutoShape 2">
          <a:extLst>
            <a:ext uri="{FF2B5EF4-FFF2-40B4-BE49-F238E27FC236}">
              <a16:creationId xmlns:a16="http://schemas.microsoft.com/office/drawing/2014/main" id="{AA7C98CD-DDA4-476D-95B2-F5765B262232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06" name="AutoShape 2">
          <a:extLst>
            <a:ext uri="{FF2B5EF4-FFF2-40B4-BE49-F238E27FC236}">
              <a16:creationId xmlns:a16="http://schemas.microsoft.com/office/drawing/2014/main" id="{0CF99CC1-78D7-4E72-A5A2-4C2D93868FA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07" name="AutoShape 2">
          <a:extLst>
            <a:ext uri="{FF2B5EF4-FFF2-40B4-BE49-F238E27FC236}">
              <a16:creationId xmlns:a16="http://schemas.microsoft.com/office/drawing/2014/main" id="{953A0399-A568-470F-A84D-1D08BA177D92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08" name="AutoShape 2">
          <a:extLst>
            <a:ext uri="{FF2B5EF4-FFF2-40B4-BE49-F238E27FC236}">
              <a16:creationId xmlns:a16="http://schemas.microsoft.com/office/drawing/2014/main" id="{A227811C-9C2D-4EA2-AFF9-D8C24D542EE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09" name="AutoShape 2">
          <a:extLst>
            <a:ext uri="{FF2B5EF4-FFF2-40B4-BE49-F238E27FC236}">
              <a16:creationId xmlns:a16="http://schemas.microsoft.com/office/drawing/2014/main" id="{2DA838B0-C576-4A4A-98DA-83211A45A12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10" name="AutoShape 2">
          <a:extLst>
            <a:ext uri="{FF2B5EF4-FFF2-40B4-BE49-F238E27FC236}">
              <a16:creationId xmlns:a16="http://schemas.microsoft.com/office/drawing/2014/main" id="{2B94DA9A-11D1-4EC3-AAAC-C47461A65E9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11" name="AutoShape 2">
          <a:extLst>
            <a:ext uri="{FF2B5EF4-FFF2-40B4-BE49-F238E27FC236}">
              <a16:creationId xmlns:a16="http://schemas.microsoft.com/office/drawing/2014/main" id="{44957553-AC86-4E9C-A430-3118E2ED390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12" name="AutoShape 2">
          <a:extLst>
            <a:ext uri="{FF2B5EF4-FFF2-40B4-BE49-F238E27FC236}">
              <a16:creationId xmlns:a16="http://schemas.microsoft.com/office/drawing/2014/main" id="{9A238D72-6E07-482B-9ADF-FEC4DC4FD42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13" name="AutoShape 2">
          <a:extLst>
            <a:ext uri="{FF2B5EF4-FFF2-40B4-BE49-F238E27FC236}">
              <a16:creationId xmlns:a16="http://schemas.microsoft.com/office/drawing/2014/main" id="{082F881C-C6A1-4C8C-9EAF-8E5F520BC51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14" name="AutoShape 2">
          <a:extLst>
            <a:ext uri="{FF2B5EF4-FFF2-40B4-BE49-F238E27FC236}">
              <a16:creationId xmlns:a16="http://schemas.microsoft.com/office/drawing/2014/main" id="{2DF16B1D-3637-415E-89DC-42BDFDA19F2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15" name="AutoShape 2">
          <a:extLst>
            <a:ext uri="{FF2B5EF4-FFF2-40B4-BE49-F238E27FC236}">
              <a16:creationId xmlns:a16="http://schemas.microsoft.com/office/drawing/2014/main" id="{24F2B46F-40BF-416B-A044-BF33AFAF801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16" name="AutoShape 2">
          <a:extLst>
            <a:ext uri="{FF2B5EF4-FFF2-40B4-BE49-F238E27FC236}">
              <a16:creationId xmlns:a16="http://schemas.microsoft.com/office/drawing/2014/main" id="{6E0EFB38-3D05-45EE-8FCE-24815DAA183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17" name="AutoShape 2">
          <a:extLst>
            <a:ext uri="{FF2B5EF4-FFF2-40B4-BE49-F238E27FC236}">
              <a16:creationId xmlns:a16="http://schemas.microsoft.com/office/drawing/2014/main" id="{80AFF8EF-867D-42E2-AD49-8FC88EF9B93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18" name="AutoShape 2">
          <a:extLst>
            <a:ext uri="{FF2B5EF4-FFF2-40B4-BE49-F238E27FC236}">
              <a16:creationId xmlns:a16="http://schemas.microsoft.com/office/drawing/2014/main" id="{8C9BCEDB-12FF-46F9-B357-5E946C45190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19" name="AutoShape 2">
          <a:extLst>
            <a:ext uri="{FF2B5EF4-FFF2-40B4-BE49-F238E27FC236}">
              <a16:creationId xmlns:a16="http://schemas.microsoft.com/office/drawing/2014/main" id="{205B6916-37FD-45B2-A2D5-9F38AE15BF4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20" name="AutoShape 2">
          <a:extLst>
            <a:ext uri="{FF2B5EF4-FFF2-40B4-BE49-F238E27FC236}">
              <a16:creationId xmlns:a16="http://schemas.microsoft.com/office/drawing/2014/main" id="{19470C4F-51C3-4D5E-ABB5-BC70594E6BF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21" name="AutoShape 2">
          <a:extLst>
            <a:ext uri="{FF2B5EF4-FFF2-40B4-BE49-F238E27FC236}">
              <a16:creationId xmlns:a16="http://schemas.microsoft.com/office/drawing/2014/main" id="{772D71EB-42BE-436D-85AD-F7FD34CA080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22" name="AutoShape 2">
          <a:extLst>
            <a:ext uri="{FF2B5EF4-FFF2-40B4-BE49-F238E27FC236}">
              <a16:creationId xmlns:a16="http://schemas.microsoft.com/office/drawing/2014/main" id="{1A352CAC-B7FF-4425-8AC3-6BD16DCF11E2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23" name="AutoShape 2">
          <a:extLst>
            <a:ext uri="{FF2B5EF4-FFF2-40B4-BE49-F238E27FC236}">
              <a16:creationId xmlns:a16="http://schemas.microsoft.com/office/drawing/2014/main" id="{8038BF88-085E-4B46-B2E0-3F82D4D292E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24" name="AutoShape 2">
          <a:extLst>
            <a:ext uri="{FF2B5EF4-FFF2-40B4-BE49-F238E27FC236}">
              <a16:creationId xmlns:a16="http://schemas.microsoft.com/office/drawing/2014/main" id="{807ECAD1-97F5-4108-9509-639F3DCE0F6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25" name="AutoShape 2">
          <a:extLst>
            <a:ext uri="{FF2B5EF4-FFF2-40B4-BE49-F238E27FC236}">
              <a16:creationId xmlns:a16="http://schemas.microsoft.com/office/drawing/2014/main" id="{73FBE0E1-9C35-42E9-98CB-859A5E16A1D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26" name="AutoShape 2">
          <a:extLst>
            <a:ext uri="{FF2B5EF4-FFF2-40B4-BE49-F238E27FC236}">
              <a16:creationId xmlns:a16="http://schemas.microsoft.com/office/drawing/2014/main" id="{91ADE921-1FED-41BF-B964-50F321769C8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27" name="AutoShape 2">
          <a:extLst>
            <a:ext uri="{FF2B5EF4-FFF2-40B4-BE49-F238E27FC236}">
              <a16:creationId xmlns:a16="http://schemas.microsoft.com/office/drawing/2014/main" id="{B97D9CF0-1F16-4D8A-8349-5ACB17B915F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28" name="AutoShape 2">
          <a:extLst>
            <a:ext uri="{FF2B5EF4-FFF2-40B4-BE49-F238E27FC236}">
              <a16:creationId xmlns:a16="http://schemas.microsoft.com/office/drawing/2014/main" id="{4E4B51F9-4919-4702-AAAA-DE5A35CB8C6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29" name="AutoShape 2">
          <a:extLst>
            <a:ext uri="{FF2B5EF4-FFF2-40B4-BE49-F238E27FC236}">
              <a16:creationId xmlns:a16="http://schemas.microsoft.com/office/drawing/2014/main" id="{0458F197-DCF8-4D57-900A-55397562E64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30" name="AutoShape 2">
          <a:extLst>
            <a:ext uri="{FF2B5EF4-FFF2-40B4-BE49-F238E27FC236}">
              <a16:creationId xmlns:a16="http://schemas.microsoft.com/office/drawing/2014/main" id="{865FF236-7FFC-4ABC-83F2-B1C33B1B3D9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31" name="AutoShape 2">
          <a:extLst>
            <a:ext uri="{FF2B5EF4-FFF2-40B4-BE49-F238E27FC236}">
              <a16:creationId xmlns:a16="http://schemas.microsoft.com/office/drawing/2014/main" id="{FBAAA6BB-214C-483E-974A-9ABFD2A7040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32" name="AutoShape 2">
          <a:extLst>
            <a:ext uri="{FF2B5EF4-FFF2-40B4-BE49-F238E27FC236}">
              <a16:creationId xmlns:a16="http://schemas.microsoft.com/office/drawing/2014/main" id="{CD583F74-08D0-471A-A689-D7F29BE811D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33" name="AutoShape 2">
          <a:extLst>
            <a:ext uri="{FF2B5EF4-FFF2-40B4-BE49-F238E27FC236}">
              <a16:creationId xmlns:a16="http://schemas.microsoft.com/office/drawing/2014/main" id="{CF04E76D-3D0B-4C2B-B115-EB6E27462E7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34" name="AutoShape 2">
          <a:extLst>
            <a:ext uri="{FF2B5EF4-FFF2-40B4-BE49-F238E27FC236}">
              <a16:creationId xmlns:a16="http://schemas.microsoft.com/office/drawing/2014/main" id="{7745615A-A4C2-4743-AFB8-93FF5920B55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35" name="AutoShape 2">
          <a:extLst>
            <a:ext uri="{FF2B5EF4-FFF2-40B4-BE49-F238E27FC236}">
              <a16:creationId xmlns:a16="http://schemas.microsoft.com/office/drawing/2014/main" id="{76F8E4B1-3E54-4CD7-A559-09DCFD3DAC1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36" name="AutoShape 2">
          <a:extLst>
            <a:ext uri="{FF2B5EF4-FFF2-40B4-BE49-F238E27FC236}">
              <a16:creationId xmlns:a16="http://schemas.microsoft.com/office/drawing/2014/main" id="{FD795A9A-84C0-459A-A7A3-508BA0FB79C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37" name="AutoShape 2">
          <a:extLst>
            <a:ext uri="{FF2B5EF4-FFF2-40B4-BE49-F238E27FC236}">
              <a16:creationId xmlns:a16="http://schemas.microsoft.com/office/drawing/2014/main" id="{CCF74DC8-8F9D-40E0-AB2C-608BB48030E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38" name="AutoShape 2">
          <a:extLst>
            <a:ext uri="{FF2B5EF4-FFF2-40B4-BE49-F238E27FC236}">
              <a16:creationId xmlns:a16="http://schemas.microsoft.com/office/drawing/2014/main" id="{F72147A9-DEB6-47F0-A56A-37EFEACE1DC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39" name="AutoShape 2">
          <a:extLst>
            <a:ext uri="{FF2B5EF4-FFF2-40B4-BE49-F238E27FC236}">
              <a16:creationId xmlns:a16="http://schemas.microsoft.com/office/drawing/2014/main" id="{EEFD4241-DE18-4B5E-AB6F-C8BAAA0ECEE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40" name="AutoShape 2">
          <a:extLst>
            <a:ext uri="{FF2B5EF4-FFF2-40B4-BE49-F238E27FC236}">
              <a16:creationId xmlns:a16="http://schemas.microsoft.com/office/drawing/2014/main" id="{4AD886C8-08CA-44D1-ACBB-538F08FFDB4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41" name="AutoShape 2">
          <a:extLst>
            <a:ext uri="{FF2B5EF4-FFF2-40B4-BE49-F238E27FC236}">
              <a16:creationId xmlns:a16="http://schemas.microsoft.com/office/drawing/2014/main" id="{83621478-9E92-4CAE-B7DB-477631C1466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42" name="AutoShape 2">
          <a:extLst>
            <a:ext uri="{FF2B5EF4-FFF2-40B4-BE49-F238E27FC236}">
              <a16:creationId xmlns:a16="http://schemas.microsoft.com/office/drawing/2014/main" id="{78C5792F-D049-4601-9DB6-3EAFECFD804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43" name="AutoShape 2">
          <a:extLst>
            <a:ext uri="{FF2B5EF4-FFF2-40B4-BE49-F238E27FC236}">
              <a16:creationId xmlns:a16="http://schemas.microsoft.com/office/drawing/2014/main" id="{637FE857-1AC9-4A80-82EE-860DF1D6348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44" name="AutoShape 2">
          <a:extLst>
            <a:ext uri="{FF2B5EF4-FFF2-40B4-BE49-F238E27FC236}">
              <a16:creationId xmlns:a16="http://schemas.microsoft.com/office/drawing/2014/main" id="{2D34CEAB-0FA6-45C6-B72E-44B70709782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45" name="AutoShape 2">
          <a:extLst>
            <a:ext uri="{FF2B5EF4-FFF2-40B4-BE49-F238E27FC236}">
              <a16:creationId xmlns:a16="http://schemas.microsoft.com/office/drawing/2014/main" id="{3324BEB1-875B-4926-AF55-E45E64B4F97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46" name="AutoShape 2">
          <a:extLst>
            <a:ext uri="{FF2B5EF4-FFF2-40B4-BE49-F238E27FC236}">
              <a16:creationId xmlns:a16="http://schemas.microsoft.com/office/drawing/2014/main" id="{79AB3EFB-417C-43FC-A7EE-3617FAF8488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47" name="AutoShape 2">
          <a:extLst>
            <a:ext uri="{FF2B5EF4-FFF2-40B4-BE49-F238E27FC236}">
              <a16:creationId xmlns:a16="http://schemas.microsoft.com/office/drawing/2014/main" id="{D9BB1A39-CEA8-45D8-A142-9A647644D3C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48" name="AutoShape 2">
          <a:extLst>
            <a:ext uri="{FF2B5EF4-FFF2-40B4-BE49-F238E27FC236}">
              <a16:creationId xmlns:a16="http://schemas.microsoft.com/office/drawing/2014/main" id="{237A7A94-8A8E-4623-A1CD-A4E7E9E47C3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49" name="AutoShape 2">
          <a:extLst>
            <a:ext uri="{FF2B5EF4-FFF2-40B4-BE49-F238E27FC236}">
              <a16:creationId xmlns:a16="http://schemas.microsoft.com/office/drawing/2014/main" id="{47E7B63A-C297-4222-BB13-F3F8C45366D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50" name="AutoShape 2">
          <a:extLst>
            <a:ext uri="{FF2B5EF4-FFF2-40B4-BE49-F238E27FC236}">
              <a16:creationId xmlns:a16="http://schemas.microsoft.com/office/drawing/2014/main" id="{29323E18-8EBB-49F6-9238-08E4C258DF6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51" name="AutoShape 2">
          <a:extLst>
            <a:ext uri="{FF2B5EF4-FFF2-40B4-BE49-F238E27FC236}">
              <a16:creationId xmlns:a16="http://schemas.microsoft.com/office/drawing/2014/main" id="{FC5F8C56-1990-49C1-BD44-0ED6B4C569E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52" name="AutoShape 2">
          <a:extLst>
            <a:ext uri="{FF2B5EF4-FFF2-40B4-BE49-F238E27FC236}">
              <a16:creationId xmlns:a16="http://schemas.microsoft.com/office/drawing/2014/main" id="{8577F230-91B3-4750-B946-2B298532F4A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53" name="AutoShape 2">
          <a:extLst>
            <a:ext uri="{FF2B5EF4-FFF2-40B4-BE49-F238E27FC236}">
              <a16:creationId xmlns:a16="http://schemas.microsoft.com/office/drawing/2014/main" id="{F8CF57C0-7AFB-4BC5-8A65-7A5B14167D4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54" name="AutoShape 2">
          <a:extLst>
            <a:ext uri="{FF2B5EF4-FFF2-40B4-BE49-F238E27FC236}">
              <a16:creationId xmlns:a16="http://schemas.microsoft.com/office/drawing/2014/main" id="{5C3B7ED9-6816-40C3-B530-AD9615243AE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55" name="AutoShape 2">
          <a:extLst>
            <a:ext uri="{FF2B5EF4-FFF2-40B4-BE49-F238E27FC236}">
              <a16:creationId xmlns:a16="http://schemas.microsoft.com/office/drawing/2014/main" id="{B40A363E-9FB9-4C71-AC69-B66EE12424A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56" name="AutoShape 2">
          <a:extLst>
            <a:ext uri="{FF2B5EF4-FFF2-40B4-BE49-F238E27FC236}">
              <a16:creationId xmlns:a16="http://schemas.microsoft.com/office/drawing/2014/main" id="{80B2059F-FE54-474F-95FD-476BE499F44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57" name="AutoShape 2">
          <a:extLst>
            <a:ext uri="{FF2B5EF4-FFF2-40B4-BE49-F238E27FC236}">
              <a16:creationId xmlns:a16="http://schemas.microsoft.com/office/drawing/2014/main" id="{94EF3E7D-BE0A-4AA6-98F9-1822EC4E961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58" name="AutoShape 2">
          <a:extLst>
            <a:ext uri="{FF2B5EF4-FFF2-40B4-BE49-F238E27FC236}">
              <a16:creationId xmlns:a16="http://schemas.microsoft.com/office/drawing/2014/main" id="{15E2101E-08DA-4F8F-B0E7-97F982EF758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59" name="AutoShape 2">
          <a:extLst>
            <a:ext uri="{FF2B5EF4-FFF2-40B4-BE49-F238E27FC236}">
              <a16:creationId xmlns:a16="http://schemas.microsoft.com/office/drawing/2014/main" id="{1F89C552-4E85-41E4-968C-C7CBF01FDAB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60" name="AutoShape 2">
          <a:extLst>
            <a:ext uri="{FF2B5EF4-FFF2-40B4-BE49-F238E27FC236}">
              <a16:creationId xmlns:a16="http://schemas.microsoft.com/office/drawing/2014/main" id="{C2C8CEDB-7212-4027-811D-897B1617347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61" name="AutoShape 2">
          <a:extLst>
            <a:ext uri="{FF2B5EF4-FFF2-40B4-BE49-F238E27FC236}">
              <a16:creationId xmlns:a16="http://schemas.microsoft.com/office/drawing/2014/main" id="{92B8CA53-166E-4113-ACE5-20EB1700F27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62" name="AutoShape 2">
          <a:extLst>
            <a:ext uri="{FF2B5EF4-FFF2-40B4-BE49-F238E27FC236}">
              <a16:creationId xmlns:a16="http://schemas.microsoft.com/office/drawing/2014/main" id="{7D1DCFA5-2B15-4BE7-B8C8-46D362491F4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63" name="AutoShape 2">
          <a:extLst>
            <a:ext uri="{FF2B5EF4-FFF2-40B4-BE49-F238E27FC236}">
              <a16:creationId xmlns:a16="http://schemas.microsoft.com/office/drawing/2014/main" id="{B1802A74-FC7D-49F7-B9CF-D8D78425C21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64" name="AutoShape 2">
          <a:extLst>
            <a:ext uri="{FF2B5EF4-FFF2-40B4-BE49-F238E27FC236}">
              <a16:creationId xmlns:a16="http://schemas.microsoft.com/office/drawing/2014/main" id="{17B56D79-8AB5-4746-90E0-2E7AEE3491B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65" name="AutoShape 2">
          <a:extLst>
            <a:ext uri="{FF2B5EF4-FFF2-40B4-BE49-F238E27FC236}">
              <a16:creationId xmlns:a16="http://schemas.microsoft.com/office/drawing/2014/main" id="{2ACDC3A6-9A90-4FBE-90A7-FFE87CCF2B8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66" name="AutoShape 2">
          <a:extLst>
            <a:ext uri="{FF2B5EF4-FFF2-40B4-BE49-F238E27FC236}">
              <a16:creationId xmlns:a16="http://schemas.microsoft.com/office/drawing/2014/main" id="{E84A6683-0717-492F-BB7A-9C665716913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67" name="AutoShape 2">
          <a:extLst>
            <a:ext uri="{FF2B5EF4-FFF2-40B4-BE49-F238E27FC236}">
              <a16:creationId xmlns:a16="http://schemas.microsoft.com/office/drawing/2014/main" id="{AEFCC709-FB0F-4828-89CC-B769EBF3114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68" name="AutoShape 2">
          <a:extLst>
            <a:ext uri="{FF2B5EF4-FFF2-40B4-BE49-F238E27FC236}">
              <a16:creationId xmlns:a16="http://schemas.microsoft.com/office/drawing/2014/main" id="{3842DD31-2FAD-411E-82FE-ADD6530708E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69" name="AutoShape 2">
          <a:extLst>
            <a:ext uri="{FF2B5EF4-FFF2-40B4-BE49-F238E27FC236}">
              <a16:creationId xmlns:a16="http://schemas.microsoft.com/office/drawing/2014/main" id="{5B74FABE-F0E7-44CC-A41B-4F4D4D00215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70" name="AutoShape 2">
          <a:extLst>
            <a:ext uri="{FF2B5EF4-FFF2-40B4-BE49-F238E27FC236}">
              <a16:creationId xmlns:a16="http://schemas.microsoft.com/office/drawing/2014/main" id="{2284D360-C967-4B8C-A6A8-48ACF65A496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71" name="AutoShape 2">
          <a:extLst>
            <a:ext uri="{FF2B5EF4-FFF2-40B4-BE49-F238E27FC236}">
              <a16:creationId xmlns:a16="http://schemas.microsoft.com/office/drawing/2014/main" id="{BC1CEF6F-3646-4B01-9BD8-21271CAAB5E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72" name="AutoShape 2">
          <a:extLst>
            <a:ext uri="{FF2B5EF4-FFF2-40B4-BE49-F238E27FC236}">
              <a16:creationId xmlns:a16="http://schemas.microsoft.com/office/drawing/2014/main" id="{C139E8C4-4EA0-43ED-B450-A32BA747D0F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73" name="AutoShape 2">
          <a:extLst>
            <a:ext uri="{FF2B5EF4-FFF2-40B4-BE49-F238E27FC236}">
              <a16:creationId xmlns:a16="http://schemas.microsoft.com/office/drawing/2014/main" id="{4D816742-45FE-4474-B750-08EB71009EB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74" name="AutoShape 2">
          <a:extLst>
            <a:ext uri="{FF2B5EF4-FFF2-40B4-BE49-F238E27FC236}">
              <a16:creationId xmlns:a16="http://schemas.microsoft.com/office/drawing/2014/main" id="{07B252E7-1CD7-49FC-A563-735583A66F9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75" name="AutoShape 2">
          <a:extLst>
            <a:ext uri="{FF2B5EF4-FFF2-40B4-BE49-F238E27FC236}">
              <a16:creationId xmlns:a16="http://schemas.microsoft.com/office/drawing/2014/main" id="{B05855DD-3DAB-4AC8-B149-0B83E9A412B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76" name="AutoShape 2">
          <a:extLst>
            <a:ext uri="{FF2B5EF4-FFF2-40B4-BE49-F238E27FC236}">
              <a16:creationId xmlns:a16="http://schemas.microsoft.com/office/drawing/2014/main" id="{75B95C94-38CA-426D-AE29-61258D31826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77" name="AutoShape 2">
          <a:extLst>
            <a:ext uri="{FF2B5EF4-FFF2-40B4-BE49-F238E27FC236}">
              <a16:creationId xmlns:a16="http://schemas.microsoft.com/office/drawing/2014/main" id="{EB63A58C-5D4B-4086-BD40-F626A59CB9E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78" name="AutoShape 2">
          <a:extLst>
            <a:ext uri="{FF2B5EF4-FFF2-40B4-BE49-F238E27FC236}">
              <a16:creationId xmlns:a16="http://schemas.microsoft.com/office/drawing/2014/main" id="{838BAE9A-5048-48A3-A45A-6B73644A2CF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79" name="AutoShape 2">
          <a:extLst>
            <a:ext uri="{FF2B5EF4-FFF2-40B4-BE49-F238E27FC236}">
              <a16:creationId xmlns:a16="http://schemas.microsoft.com/office/drawing/2014/main" id="{1EDB07A9-AD2C-4D17-8182-E988FF69AFF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80" name="AutoShape 2">
          <a:extLst>
            <a:ext uri="{FF2B5EF4-FFF2-40B4-BE49-F238E27FC236}">
              <a16:creationId xmlns:a16="http://schemas.microsoft.com/office/drawing/2014/main" id="{ACB90538-5A38-4582-BF5F-672ACC564A3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81" name="AutoShape 2">
          <a:extLst>
            <a:ext uri="{FF2B5EF4-FFF2-40B4-BE49-F238E27FC236}">
              <a16:creationId xmlns:a16="http://schemas.microsoft.com/office/drawing/2014/main" id="{4BE2F16E-1CC3-410D-B302-8ADC1E667DD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82" name="AutoShape 2">
          <a:extLst>
            <a:ext uri="{FF2B5EF4-FFF2-40B4-BE49-F238E27FC236}">
              <a16:creationId xmlns:a16="http://schemas.microsoft.com/office/drawing/2014/main" id="{78B1CB2F-0775-4F6A-93C2-879D1FB12D2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83" name="AutoShape 2">
          <a:extLst>
            <a:ext uri="{FF2B5EF4-FFF2-40B4-BE49-F238E27FC236}">
              <a16:creationId xmlns:a16="http://schemas.microsoft.com/office/drawing/2014/main" id="{235A4C60-52C0-45B5-B653-B20A9551E2B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84" name="AutoShape 2">
          <a:extLst>
            <a:ext uri="{FF2B5EF4-FFF2-40B4-BE49-F238E27FC236}">
              <a16:creationId xmlns:a16="http://schemas.microsoft.com/office/drawing/2014/main" id="{4A2531A8-4686-4DA3-9E5D-2B4C5D71804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85" name="AutoShape 2">
          <a:extLst>
            <a:ext uri="{FF2B5EF4-FFF2-40B4-BE49-F238E27FC236}">
              <a16:creationId xmlns:a16="http://schemas.microsoft.com/office/drawing/2014/main" id="{9CC4D82F-5C45-4C4A-BD94-16FC39F7AC6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86" name="AutoShape 2">
          <a:extLst>
            <a:ext uri="{FF2B5EF4-FFF2-40B4-BE49-F238E27FC236}">
              <a16:creationId xmlns:a16="http://schemas.microsoft.com/office/drawing/2014/main" id="{12AF623A-67D0-4B76-B79C-93DC1CFB28C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87" name="AutoShape 2">
          <a:extLst>
            <a:ext uri="{FF2B5EF4-FFF2-40B4-BE49-F238E27FC236}">
              <a16:creationId xmlns:a16="http://schemas.microsoft.com/office/drawing/2014/main" id="{46C1660A-EBF0-450F-8DC8-B950F51BBC2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88" name="AutoShape 2">
          <a:extLst>
            <a:ext uri="{FF2B5EF4-FFF2-40B4-BE49-F238E27FC236}">
              <a16:creationId xmlns:a16="http://schemas.microsoft.com/office/drawing/2014/main" id="{A8AB896D-97BD-4190-90DD-163AC36EBB7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89" name="AutoShape 2">
          <a:extLst>
            <a:ext uri="{FF2B5EF4-FFF2-40B4-BE49-F238E27FC236}">
              <a16:creationId xmlns:a16="http://schemas.microsoft.com/office/drawing/2014/main" id="{DDE63B89-04BE-48E1-9BE3-0694FF4C745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90" name="AutoShape 2">
          <a:extLst>
            <a:ext uri="{FF2B5EF4-FFF2-40B4-BE49-F238E27FC236}">
              <a16:creationId xmlns:a16="http://schemas.microsoft.com/office/drawing/2014/main" id="{FFA4F5D3-0651-4054-B21C-21974546309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91" name="AutoShape 2">
          <a:extLst>
            <a:ext uri="{FF2B5EF4-FFF2-40B4-BE49-F238E27FC236}">
              <a16:creationId xmlns:a16="http://schemas.microsoft.com/office/drawing/2014/main" id="{B850BA3A-6EC7-4178-864B-94CEC357E6F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92" name="AutoShape 2">
          <a:extLst>
            <a:ext uri="{FF2B5EF4-FFF2-40B4-BE49-F238E27FC236}">
              <a16:creationId xmlns:a16="http://schemas.microsoft.com/office/drawing/2014/main" id="{A3935AAC-F66C-4D10-B387-D3A72CFAEA2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93" name="AutoShape 2">
          <a:extLst>
            <a:ext uri="{FF2B5EF4-FFF2-40B4-BE49-F238E27FC236}">
              <a16:creationId xmlns:a16="http://schemas.microsoft.com/office/drawing/2014/main" id="{6582C82D-2CC2-4491-8DD0-3A734C4C943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94" name="AutoShape 2">
          <a:extLst>
            <a:ext uri="{FF2B5EF4-FFF2-40B4-BE49-F238E27FC236}">
              <a16:creationId xmlns:a16="http://schemas.microsoft.com/office/drawing/2014/main" id="{40E4EA38-72F6-40EA-AD04-C77DEDFB32F2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95" name="AutoShape 2">
          <a:extLst>
            <a:ext uri="{FF2B5EF4-FFF2-40B4-BE49-F238E27FC236}">
              <a16:creationId xmlns:a16="http://schemas.microsoft.com/office/drawing/2014/main" id="{D5F105E2-BDC1-4FBB-BF47-56BD449D8AF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96" name="AutoShape 2">
          <a:extLst>
            <a:ext uri="{FF2B5EF4-FFF2-40B4-BE49-F238E27FC236}">
              <a16:creationId xmlns:a16="http://schemas.microsoft.com/office/drawing/2014/main" id="{3861D9FA-8C50-4E2A-8E15-789F8250CEF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28575</xdr:colOff>
      <xdr:row>19</xdr:row>
      <xdr:rowOff>76200</xdr:rowOff>
    </xdr:to>
    <xdr:sp macro="" textlink="">
      <xdr:nvSpPr>
        <xdr:cNvPr id="2397" name="AutoShape 2">
          <a:extLst>
            <a:ext uri="{FF2B5EF4-FFF2-40B4-BE49-F238E27FC236}">
              <a16:creationId xmlns:a16="http://schemas.microsoft.com/office/drawing/2014/main" id="{0E5B13E1-2D0C-4579-BDF7-371F40E58E7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62000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299356</xdr:colOff>
      <xdr:row>0</xdr:row>
      <xdr:rowOff>0</xdr:rowOff>
    </xdr:from>
    <xdr:to>
      <xdr:col>19</xdr:col>
      <xdr:colOff>129230</xdr:colOff>
      <xdr:row>4</xdr:row>
      <xdr:rowOff>49963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2D62F3DC-4953-414B-956C-654B219A4A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90356" y="0"/>
          <a:ext cx="2877874" cy="811963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노무법인 화랑 컨설팅(02-6104-7010)" id="{64412C3F-1C1E-4C0A-855F-C8AC68387D39}" userId="노무법인 화랑 컨설팅(02-6104-7010)" providerId="None"/>
</personList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L50" dT="2020-11-20T00:38:17.34" personId="{64412C3F-1C1E-4C0A-855F-C8AC68387D39}" id="{D3F9214B-7958-4838-AB57-54DAA5E7AA46}">
    <text>2020.11.20. - 2020. 11. 31.자 출금분 출금 정지시키고, 2020. 12. 20. 세금계산서 발행 후 출금재개 하여 출금주기 정상화할 것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101"/>
  <sheetViews>
    <sheetView view="pageBreakPreview" topLeftCell="A43" zoomScale="115" zoomScaleNormal="100" zoomScaleSheetLayoutView="115" workbookViewId="0">
      <selection activeCell="B32" sqref="B32"/>
    </sheetView>
  </sheetViews>
  <sheetFormatPr defaultColWidth="12.625" defaultRowHeight="15" customHeight="1" x14ac:dyDescent="0.3"/>
  <cols>
    <col min="1" max="1" width="4.75" customWidth="1"/>
    <col min="2" max="2" width="19.125" customWidth="1"/>
    <col min="3" max="3" width="25.5" customWidth="1"/>
    <col min="4" max="5" width="9.625" customWidth="1"/>
    <col min="6" max="6" width="10.875" customWidth="1"/>
    <col min="7" max="9" width="9.125" customWidth="1"/>
    <col min="10" max="10" width="12.375" bestFit="1" customWidth="1"/>
    <col min="11" max="11" width="7.625" customWidth="1"/>
  </cols>
  <sheetData>
    <row r="1" spans="1:10" s="108" customFormat="1" ht="15" customHeight="1" x14ac:dyDescent="0.3">
      <c r="A1" s="378">
        <f ca="1">TODAY()</f>
        <v>44334</v>
      </c>
      <c r="B1" s="378"/>
      <c r="C1" s="378"/>
      <c r="D1" s="378"/>
      <c r="E1" s="378"/>
      <c r="F1" s="378"/>
      <c r="G1" s="378"/>
      <c r="H1" s="378"/>
      <c r="I1" s="378"/>
      <c r="J1" s="378"/>
    </row>
    <row r="2" spans="1:10" ht="22.5" customHeight="1" x14ac:dyDescent="0.3">
      <c r="A2" s="1" t="s">
        <v>0</v>
      </c>
      <c r="B2" s="1" t="s">
        <v>1</v>
      </c>
      <c r="C2" s="1" t="s">
        <v>2</v>
      </c>
      <c r="D2" s="376" t="s">
        <v>3</v>
      </c>
      <c r="E2" s="377"/>
      <c r="F2" s="1" t="s">
        <v>4</v>
      </c>
      <c r="G2" s="376" t="s">
        <v>5</v>
      </c>
      <c r="H2" s="377"/>
      <c r="I2" s="1" t="s">
        <v>6</v>
      </c>
      <c r="J2" s="1" t="s">
        <v>7</v>
      </c>
    </row>
    <row r="3" spans="1:10" ht="24.75" customHeight="1" x14ac:dyDescent="0.3">
      <c r="A3" s="2">
        <f>ROW(A1)</f>
        <v>1</v>
      </c>
      <c r="B3" s="138" t="s">
        <v>8</v>
      </c>
      <c r="C3" s="137" t="str">
        <f>VLOOKUP($B3,'2019'!$B$3:$M$298,2,0)</f>
        <v>220-87-34406</v>
      </c>
      <c r="D3" s="4">
        <f>VLOOKUP($B3,'2019'!$B$3:$M$298,7,0)</f>
        <v>43193</v>
      </c>
      <c r="E3" s="4">
        <f>VLOOKUP($B3,'2019'!$B$3:$M$298,8,0)</f>
        <v>43557</v>
      </c>
      <c r="F3" s="107" t="str">
        <f ca="1">IF(AND(IFERROR(DATEDIF(TODAY(),DATE(YEAR(TODAY()),MONTH(E3),DAY(E3)),"M"),0)&gt;0,IFERROR(DATEDIF(TODAY(),DATE(YEAR(TODAY()),MONTH(E3),DAY(E3)),"M"),0)&lt;=3),"계약갱신("&amp;IFERROR(DATEDIF(TODAY(),DATE(YEAR(TODAY()),MONTH(E3),DAY(E3)),"M"),0)&amp;"월)","")</f>
        <v/>
      </c>
      <c r="G3" s="5">
        <f>VLOOKUP($B3,'2019'!$B$3:$M$298,4,0)</f>
        <v>0</v>
      </c>
      <c r="H3" s="5">
        <f>VLOOKUP($B3,'2019'!$B$3:$M$298,5,0)</f>
        <v>0</v>
      </c>
      <c r="I3" s="6">
        <f>VLOOKUP($B3,'2019'!$B$3:$M$298,6,0)</f>
        <v>0</v>
      </c>
      <c r="J3" s="7">
        <f>VLOOKUP($B3,'2019'!$B$3:$M$298,12,0)</f>
        <v>242000</v>
      </c>
    </row>
    <row r="4" spans="1:10" ht="24.75" customHeight="1" x14ac:dyDescent="0.3">
      <c r="A4" s="2">
        <f t="shared" ref="A4:A45" si="0">ROW(A2)</f>
        <v>2</v>
      </c>
      <c r="B4" s="138" t="s">
        <v>9</v>
      </c>
      <c r="C4" s="137">
        <f>VLOOKUP($B4,'2019'!$B$3:$M$298,2,0)</f>
        <v>0</v>
      </c>
      <c r="D4" s="4">
        <f>VLOOKUP($B4,'2019'!$B$3:$M$298,7,0)</f>
        <v>42583</v>
      </c>
      <c r="E4" s="4">
        <f>VLOOKUP($B4,'2019'!$B$3:$M$298,8,0)</f>
        <v>43312</v>
      </c>
      <c r="F4" s="107" t="str">
        <f ca="1">IF(AND(IFERROR(DATEDIF(TODAY(),DATE(YEAR(TODAY()),MONTH(E4),DAY(E4)),"M"),0)&gt;0,IFERROR(DATEDIF(TODAY(),DATE(YEAR(TODAY()),MONTH(E4),DAY(E4)),"M"),0)&lt;=3),"계약갱신("&amp;IFERROR(DATEDIF(TODAY(),DATE(YEAR(TODAY()),MONTH(E4),DAY(E4)),"M"),0)&amp;"월)","")</f>
        <v>계약갱신(2월)</v>
      </c>
      <c r="G4" s="5">
        <f>VLOOKUP($B4,'2019'!$B$3:$M$298,4,0)</f>
        <v>0</v>
      </c>
      <c r="H4" s="5">
        <f>VLOOKUP($B4,'2019'!$B$3:$M$298,5,0)</f>
        <v>0</v>
      </c>
      <c r="I4" s="6">
        <f>VLOOKUP($B4,'2019'!$B$3:$M$298,6,0)</f>
        <v>0</v>
      </c>
      <c r="J4" s="118">
        <v>100000</v>
      </c>
    </row>
    <row r="5" spans="1:10" ht="24.75" customHeight="1" x14ac:dyDescent="0.3">
      <c r="A5" s="2">
        <f t="shared" si="0"/>
        <v>3</v>
      </c>
      <c r="B5" s="138" t="s">
        <v>10</v>
      </c>
      <c r="C5" s="137" t="str">
        <f>VLOOKUP($B5,'2019'!$B$3:$M$298,2,0)</f>
        <v>206-93-73234</v>
      </c>
      <c r="D5" s="4">
        <f>VLOOKUP($B5,'2019'!$B$3:$M$298,7,0)</f>
        <v>42644</v>
      </c>
      <c r="E5" s="4">
        <f>VLOOKUP($B5,'2019'!$B$3:$M$298,8,0)</f>
        <v>43100</v>
      </c>
      <c r="F5" s="107" t="str">
        <f ca="1">IF(AND(IFERROR(DATEDIF(TODAY(),DATE(YEAR(TODAY()),MONTH(E5),DAY(E5)),"M"),0)&gt;0,IFERROR(DATEDIF(TODAY(),DATE(YEAR(TODAY()),MONTH(E5),DAY(E5)),"M"),0)&lt;=3),"계약갱신("&amp;IFERROR(DATEDIF(TODAY(),DATE(YEAR(TODAY()),MONTH(E5),DAY(E5)),"M"),0)&amp;"월)","")</f>
        <v/>
      </c>
      <c r="G5" s="5">
        <f>VLOOKUP($B5,'2019'!$B$3:$M$298,4,0)</f>
        <v>0</v>
      </c>
      <c r="H5" s="5">
        <f>VLOOKUP($B5,'2019'!$B$3:$M$298,5,0)</f>
        <v>0</v>
      </c>
      <c r="I5" s="6">
        <f>VLOOKUP($B5,'2019'!$B$3:$M$298,6,0)</f>
        <v>0</v>
      </c>
      <c r="J5" s="7">
        <f>VLOOKUP($B5,'2019'!$B$3:$M$298,12,0)</f>
        <v>132000</v>
      </c>
    </row>
    <row r="6" spans="1:10" ht="24.75" customHeight="1" x14ac:dyDescent="0.3">
      <c r="A6" s="2">
        <f t="shared" si="0"/>
        <v>4</v>
      </c>
      <c r="B6" s="138" t="s">
        <v>404</v>
      </c>
      <c r="C6" s="137" t="str">
        <f>VLOOKUP($B6,'2019'!$B$3:$M$298,2,0)</f>
        <v>743-81-01019</v>
      </c>
      <c r="D6" s="4">
        <f>VLOOKUP($B6,'2019'!$B$3:$M$298,7,0)</f>
        <v>43586</v>
      </c>
      <c r="E6" s="4">
        <f>VLOOKUP($B6,'2019'!$B$3:$M$298,8,0)</f>
        <v>43951</v>
      </c>
      <c r="F6" s="107" t="str">
        <f ca="1">IF(AND(IFERROR(DATEDIF(TODAY(),DATE(YEAR(TODAY()),MONTH(E6),DAY(E6)),"M"),0)&gt;0,IFERROR(DATEDIF(TODAY(),DATE(YEAR(TODAY()),MONTH(E6),DAY(E6)),"M"),0)&lt;=3),"계약갱신("&amp;IFERROR(DATEDIF(TODAY(),DATE(YEAR(TODAY()),MONTH(E6),DAY(E6)),"M"),0)&amp;"월)","")</f>
        <v/>
      </c>
      <c r="G6" s="5">
        <f>VLOOKUP($B6,'2019'!$B$3:$M$298,4,0)</f>
        <v>0</v>
      </c>
      <c r="H6" s="5">
        <f>VLOOKUP($B6,'2019'!$B$3:$M$298,5,0)</f>
        <v>0</v>
      </c>
      <c r="I6" s="6">
        <f>VLOOKUP($B6,'2019'!$B$3:$M$298,6,0)</f>
        <v>0</v>
      </c>
      <c r="J6" s="7">
        <f>VLOOKUP($B6,'2019'!$B$3:$M$298,12,0)</f>
        <v>220000</v>
      </c>
    </row>
    <row r="7" spans="1:10" s="156" customFormat="1" ht="24.75" customHeight="1" x14ac:dyDescent="0.3">
      <c r="A7" s="2">
        <f t="shared" si="0"/>
        <v>5</v>
      </c>
      <c r="B7" s="138" t="s">
        <v>442</v>
      </c>
      <c r="C7" s="137" t="str">
        <f>VLOOKUP($B7,'2019'!$B$3:$M$298,2,0)</f>
        <v>206-81-73551</v>
      </c>
      <c r="D7" s="4">
        <f>VLOOKUP($B7,'2019'!$B$3:$M$298,7,0)</f>
        <v>43678</v>
      </c>
      <c r="E7" s="4">
        <f>VLOOKUP($B7,'2019'!$B$3:$M$298,8,0)</f>
        <v>44043</v>
      </c>
      <c r="F7" s="107"/>
      <c r="G7" s="5">
        <f>VLOOKUP($B7,'2019'!$B$3:$M$298,4,0)</f>
        <v>0</v>
      </c>
      <c r="H7" s="5">
        <f>VLOOKUP($B7,'2019'!$B$3:$M$298,5,0)</f>
        <v>0</v>
      </c>
      <c r="I7" s="6">
        <f>VLOOKUP($B7,'2019'!$B$3:$M$298,6,0)</f>
        <v>0</v>
      </c>
      <c r="J7" s="7">
        <f>VLOOKUP($B7,'2019'!$B$3:$M$298,12,0)</f>
        <v>77000</v>
      </c>
    </row>
    <row r="8" spans="1:10" ht="24.75" customHeight="1" x14ac:dyDescent="0.3">
      <c r="A8" s="2">
        <f t="shared" si="0"/>
        <v>6</v>
      </c>
      <c r="B8" s="138" t="s">
        <v>11</v>
      </c>
      <c r="C8" s="137" t="str">
        <f>VLOOKUP($B8,'2019'!$B$3:$M$298,2,0)</f>
        <v>210-22-85840</v>
      </c>
      <c r="D8" s="4">
        <f>VLOOKUP($B8,'2019'!$B$3:$M$298,7,0)</f>
        <v>42583</v>
      </c>
      <c r="E8" s="4">
        <f>VLOOKUP($B8,'2019'!$B$3:$M$298,8,0)</f>
        <v>42947</v>
      </c>
      <c r="F8" s="107" t="str">
        <f t="shared" ref="F8:F45" ca="1" si="1">IF(AND(IFERROR(DATEDIF(TODAY(),DATE(YEAR(TODAY()),MONTH(E8),DAY(E8)),"M"),0)&gt;0,IFERROR(DATEDIF(TODAY(),DATE(YEAR(TODAY()),MONTH(E8),DAY(E8)),"M"),0)&lt;=3),"계약갱신("&amp;IFERROR(DATEDIF(TODAY(),DATE(YEAR(TODAY()),MONTH(E8),DAY(E8)),"M"),0)&amp;"월)","")</f>
        <v>계약갱신(2월)</v>
      </c>
      <c r="G8" s="5" t="str">
        <f>VLOOKUP($B8,'2019'!$B$3:$M$298,4,0)</f>
        <v>초일</v>
      </c>
      <c r="H8" s="5" t="str">
        <f>VLOOKUP($B8,'2019'!$B$3:$M$298,5,0)</f>
        <v>말일</v>
      </c>
      <c r="I8" s="6">
        <f>VLOOKUP($B8,'2019'!$B$3:$M$298,6,0)</f>
        <v>5</v>
      </c>
      <c r="J8" s="7">
        <f>VLOOKUP($B8,'2019'!$B$3:$M$298,12,0)</f>
        <v>110000</v>
      </c>
    </row>
    <row r="9" spans="1:10" ht="24.75" customHeight="1" x14ac:dyDescent="0.3">
      <c r="A9" s="2">
        <f t="shared" si="0"/>
        <v>7</v>
      </c>
      <c r="B9" s="138" t="s">
        <v>12</v>
      </c>
      <c r="C9" s="137" t="str">
        <f>VLOOKUP($B9,'2019'!$B$3:$M$298,2,0)</f>
        <v>110-43-34968</v>
      </c>
      <c r="D9" s="4">
        <f>VLOOKUP($B9,'2019'!$B$3:$M$298,7,0)</f>
        <v>43244</v>
      </c>
      <c r="E9" s="4">
        <f>VLOOKUP($B9,'2019'!$B$3:$M$298,8,0)</f>
        <v>43608</v>
      </c>
      <c r="F9" s="107" t="str">
        <f t="shared" ca="1" si="1"/>
        <v/>
      </c>
      <c r="G9" s="5" t="str">
        <f>VLOOKUP($B9,'2019'!$B$3:$M$298,4,0)</f>
        <v>초일</v>
      </c>
      <c r="H9" s="5" t="str">
        <f>VLOOKUP($B9,'2019'!$B$3:$M$298,5,0)</f>
        <v>말일</v>
      </c>
      <c r="I9" s="6">
        <f>VLOOKUP($B9,'2019'!$B$3:$M$298,6,0)</f>
        <v>5</v>
      </c>
      <c r="J9" s="7">
        <f>VLOOKUP($B9,'2019'!$B$3:$M$298,12,0)</f>
        <v>110000</v>
      </c>
    </row>
    <row r="10" spans="1:10" ht="24.75" customHeight="1" x14ac:dyDescent="0.3">
      <c r="A10" s="2">
        <f t="shared" si="0"/>
        <v>8</v>
      </c>
      <c r="B10" s="138" t="s">
        <v>13</v>
      </c>
      <c r="C10" s="137" t="str">
        <f>VLOOKUP($B10,'2019'!$B$3:$M$298,2,0)</f>
        <v>731-81-00137</v>
      </c>
      <c r="D10" s="4">
        <f>VLOOKUP($B10,'2019'!$B$3:$M$298,7,0)</f>
        <v>43282</v>
      </c>
      <c r="E10" s="4" t="str">
        <f>VLOOKUP($B10,'2019'!$B$3:$M$298,8,0)</f>
        <v>2019-6-31</v>
      </c>
      <c r="F10" s="107" t="str">
        <f t="shared" ca="1" si="1"/>
        <v/>
      </c>
      <c r="G10" s="5" t="str">
        <f>VLOOKUP($B10,'2019'!$B$3:$M$298,4,0)</f>
        <v>초일</v>
      </c>
      <c r="H10" s="5" t="str">
        <f>VLOOKUP($B10,'2019'!$B$3:$M$298,5,0)</f>
        <v>말일</v>
      </c>
      <c r="I10" s="6">
        <f>VLOOKUP($B10,'2019'!$B$3:$M$298,6,0)</f>
        <v>5</v>
      </c>
      <c r="J10" s="7">
        <f>VLOOKUP($B10,'2019'!$B$3:$M$298,12,0)</f>
        <v>110000</v>
      </c>
    </row>
    <row r="11" spans="1:10" ht="24.75" customHeight="1" x14ac:dyDescent="0.3">
      <c r="A11" s="2">
        <f t="shared" si="0"/>
        <v>9</v>
      </c>
      <c r="B11" s="138" t="s">
        <v>14</v>
      </c>
      <c r="C11" s="137" t="str">
        <f>VLOOKUP($B11,'2019'!$B$3:$M$298,2,0)</f>
        <v>119-96-01081</v>
      </c>
      <c r="D11" s="4">
        <f>VLOOKUP($B11,'2019'!$B$3:$M$298,7,0)</f>
        <v>42887</v>
      </c>
      <c r="E11" s="4">
        <f>VLOOKUP($B11,'2019'!$B$3:$M$298,8,0)</f>
        <v>43616</v>
      </c>
      <c r="F11" s="107" t="str">
        <f t="shared" ca="1" si="1"/>
        <v/>
      </c>
      <c r="G11" s="5" t="str">
        <f>VLOOKUP($B11,'2019'!$B$3:$M$298,4,0)</f>
        <v>초일</v>
      </c>
      <c r="H11" s="5" t="str">
        <f>VLOOKUP($B11,'2019'!$B$3:$M$298,5,0)</f>
        <v>말일</v>
      </c>
      <c r="I11" s="6">
        <f>VLOOKUP($B11,'2019'!$B$3:$M$298,6,0)</f>
        <v>5</v>
      </c>
      <c r="J11" s="7">
        <f>VLOOKUP($B11,'2019'!$B$3:$M$298,12,0)</f>
        <v>275000</v>
      </c>
    </row>
    <row r="12" spans="1:10" ht="24.75" customHeight="1" x14ac:dyDescent="0.3">
      <c r="A12" s="2">
        <f t="shared" si="0"/>
        <v>10</v>
      </c>
      <c r="B12" s="138" t="s">
        <v>15</v>
      </c>
      <c r="C12" s="137" t="str">
        <f>VLOOKUP($B12,'2019'!$B$3:$M$298,2,0)</f>
        <v>127-29-41383</v>
      </c>
      <c r="D12" s="4">
        <f>VLOOKUP($B12,'2019'!$B$3:$M$298,7,0)</f>
        <v>43191</v>
      </c>
      <c r="E12" s="4">
        <f>VLOOKUP($B12,'2019'!$B$3:$M$298,8,0)</f>
        <v>43555</v>
      </c>
      <c r="F12" s="107" t="str">
        <f t="shared" ca="1" si="1"/>
        <v/>
      </c>
      <c r="G12" s="5" t="str">
        <f>VLOOKUP($B12,'2019'!$B$3:$M$298,4,0)</f>
        <v>초일</v>
      </c>
      <c r="H12" s="5" t="str">
        <f>VLOOKUP($B12,'2019'!$B$3:$M$298,5,0)</f>
        <v>말일</v>
      </c>
      <c r="I12" s="6">
        <f>VLOOKUP($B12,'2019'!$B$3:$M$298,6,0)</f>
        <v>5</v>
      </c>
      <c r="J12" s="7">
        <f>VLOOKUP($B12,'2019'!$B$3:$M$298,12,0)</f>
        <v>55000</v>
      </c>
    </row>
    <row r="13" spans="1:10" ht="24.75" customHeight="1" x14ac:dyDescent="0.3">
      <c r="A13" s="2">
        <f t="shared" si="0"/>
        <v>11</v>
      </c>
      <c r="B13" s="138" t="s">
        <v>16</v>
      </c>
      <c r="C13" s="137" t="str">
        <f>VLOOKUP($B13,'2019'!$B$3:$M$298,2,0)</f>
        <v>470-90-00461</v>
      </c>
      <c r="D13" s="4">
        <f>VLOOKUP($B13,'2019'!$B$3:$M$298,7,0)</f>
        <v>42948</v>
      </c>
      <c r="E13" s="4">
        <f>VLOOKUP($B13,'2019'!$B$3:$M$298,8,0)</f>
        <v>43677</v>
      </c>
      <c r="F13" s="107" t="str">
        <f t="shared" ca="1" si="1"/>
        <v>계약갱신(2월)</v>
      </c>
      <c r="G13" s="5" t="str">
        <f>VLOOKUP($B13,'2019'!$B$3:$M$298,4,0)</f>
        <v>초일</v>
      </c>
      <c r="H13" s="5" t="str">
        <f>VLOOKUP($B13,'2019'!$B$3:$M$298,5,0)</f>
        <v>말일</v>
      </c>
      <c r="I13" s="6">
        <f>VLOOKUP($B13,'2019'!$B$3:$M$298,6,0)</f>
        <v>5</v>
      </c>
      <c r="J13" s="7">
        <f>VLOOKUP($B13,'2019'!$B$3:$M$298,12,0)</f>
        <v>330000</v>
      </c>
    </row>
    <row r="14" spans="1:10" ht="24.75" customHeight="1" x14ac:dyDescent="0.3">
      <c r="A14" s="2">
        <f t="shared" si="0"/>
        <v>12</v>
      </c>
      <c r="B14" s="138" t="s">
        <v>17</v>
      </c>
      <c r="C14" s="137" t="str">
        <f>VLOOKUP($B14,'2019'!$B$3:$M$298,2,0)</f>
        <v>407-99-00433</v>
      </c>
      <c r="D14" s="4">
        <f>VLOOKUP($B14,'2019'!$B$3:$M$298,7,0)</f>
        <v>43004</v>
      </c>
      <c r="E14" s="4">
        <f>VLOOKUP($B14,'2019'!$B$3:$M$298,8,0)</f>
        <v>43733</v>
      </c>
      <c r="F14" s="107" t="str">
        <f t="shared" ca="1" si="1"/>
        <v/>
      </c>
      <c r="G14" s="5" t="str">
        <f>VLOOKUP($B14,'2019'!$B$3:$M$298,4,0)</f>
        <v>초일</v>
      </c>
      <c r="H14" s="5" t="str">
        <f>VLOOKUP($B14,'2019'!$B$3:$M$298,5,0)</f>
        <v>말일</v>
      </c>
      <c r="I14" s="6">
        <f>VLOOKUP($B14,'2019'!$B$3:$M$298,6,0)</f>
        <v>5</v>
      </c>
      <c r="J14" s="7">
        <f>VLOOKUP($B14,'2019'!$B$3:$M$298,12,0)</f>
        <v>275000</v>
      </c>
    </row>
    <row r="15" spans="1:10" ht="24.75" customHeight="1" x14ac:dyDescent="0.3">
      <c r="A15" s="2">
        <f t="shared" si="0"/>
        <v>13</v>
      </c>
      <c r="B15" s="138" t="s">
        <v>19</v>
      </c>
      <c r="C15" s="137" t="str">
        <f>VLOOKUP($B15,'2019'!$B$3:$M$298,2,0)</f>
        <v>210-81-64589</v>
      </c>
      <c r="D15" s="4">
        <f>VLOOKUP($B15,'2019'!$B$3:$M$298,7,0)</f>
        <v>42675</v>
      </c>
      <c r="E15" s="4">
        <f>VLOOKUP($B15,'2019'!$B$3:$M$298,8,0)</f>
        <v>43404</v>
      </c>
      <c r="F15" s="107" t="str">
        <f t="shared" ca="1" si="1"/>
        <v/>
      </c>
      <c r="G15" s="5" t="str">
        <f>VLOOKUP($B15,'2019'!$B$3:$M$298,4,0)</f>
        <v>초일</v>
      </c>
      <c r="H15" s="5" t="str">
        <f>VLOOKUP($B15,'2019'!$B$3:$M$298,5,0)</f>
        <v>말일</v>
      </c>
      <c r="I15" s="6">
        <f>VLOOKUP($B15,'2019'!$B$3:$M$298,6,0)</f>
        <v>5</v>
      </c>
      <c r="J15" s="7">
        <f>VLOOKUP($B15,'2019'!$B$3:$M$298,12,0)</f>
        <v>165000</v>
      </c>
    </row>
    <row r="16" spans="1:10" ht="24.75" customHeight="1" x14ac:dyDescent="0.3">
      <c r="A16" s="2">
        <f t="shared" si="0"/>
        <v>14</v>
      </c>
      <c r="B16" s="138" t="s">
        <v>339</v>
      </c>
      <c r="C16" s="137" t="str">
        <f>VLOOKUP($B16,'2019'!$B$3:$M$298,2,0)</f>
        <v>530-80-01249</v>
      </c>
      <c r="D16" s="4">
        <f>VLOOKUP($B16,'2019'!$B$3:$M$298,7,0)</f>
        <v>43466</v>
      </c>
      <c r="E16" s="4">
        <f>VLOOKUP($B16,'2019'!$B$3:$M$298,8,0)</f>
        <v>43830</v>
      </c>
      <c r="F16" s="107" t="str">
        <f t="shared" ca="1" si="1"/>
        <v/>
      </c>
      <c r="G16" s="5" t="str">
        <f>VLOOKUP($B16,'2019'!$B$3:$M$298,4,0)</f>
        <v>초일</v>
      </c>
      <c r="H16" s="5" t="str">
        <f>VLOOKUP($B16,'2019'!$B$3:$M$298,5,0)</f>
        <v>말일</v>
      </c>
      <c r="I16" s="6">
        <f>VLOOKUP($B16,'2019'!$B$3:$M$298,6,0)</f>
        <v>5</v>
      </c>
      <c r="J16" s="7">
        <f>VLOOKUP($B16,'2019'!$B$3:$M$298,12,0)</f>
        <v>110000</v>
      </c>
    </row>
    <row r="17" spans="1:10" ht="24.75" customHeight="1" x14ac:dyDescent="0.3">
      <c r="A17" s="2">
        <f t="shared" si="0"/>
        <v>15</v>
      </c>
      <c r="B17" s="138" t="s">
        <v>20</v>
      </c>
      <c r="C17" s="137" t="str">
        <f>VLOOKUP($B17,'2019'!$B$3:$M$298,2,0)</f>
        <v>210-81-38456</v>
      </c>
      <c r="D17" s="4">
        <f>VLOOKUP($B17,'2019'!$B$3:$M$298,7,0)</f>
        <v>43108</v>
      </c>
      <c r="E17" s="4">
        <f>VLOOKUP($B17,'2019'!$B$3:$M$298,8,0)</f>
        <v>43465</v>
      </c>
      <c r="F17" s="107" t="str">
        <f t="shared" ca="1" si="1"/>
        <v/>
      </c>
      <c r="G17" s="5" t="str">
        <f>VLOOKUP($B17,'2019'!$B$3:$M$298,4,0)</f>
        <v>초일</v>
      </c>
      <c r="H17" s="5" t="str">
        <f>VLOOKUP($B17,'2019'!$B$3:$M$298,5,0)</f>
        <v>말일</v>
      </c>
      <c r="I17" s="6">
        <f>VLOOKUP($B17,'2019'!$B$3:$M$298,6,0)</f>
        <v>7</v>
      </c>
      <c r="J17" s="7">
        <f>VLOOKUP($B17,'2019'!$B$3:$M$298,12,0)</f>
        <v>110000</v>
      </c>
    </row>
    <row r="18" spans="1:10" ht="24.75" customHeight="1" x14ac:dyDescent="0.3">
      <c r="A18" s="2">
        <f t="shared" si="0"/>
        <v>16</v>
      </c>
      <c r="B18" s="138" t="s">
        <v>21</v>
      </c>
      <c r="C18" s="137" t="str">
        <f>VLOOKUP($B18,'2019'!$B$3:$M$298,2,0)</f>
        <v>210-07-76601</v>
      </c>
      <c r="D18" s="4">
        <f>VLOOKUP($B18,'2019'!$B$3:$M$298,7,0)</f>
        <v>43160</v>
      </c>
      <c r="E18" s="4">
        <f>VLOOKUP($B18,'2019'!$B$3:$M$298,8,0)</f>
        <v>43524</v>
      </c>
      <c r="F18" s="107" t="str">
        <f t="shared" ca="1" si="1"/>
        <v/>
      </c>
      <c r="G18" s="5" t="str">
        <f>VLOOKUP($B18,'2019'!$B$3:$M$298,4,0)</f>
        <v>초일</v>
      </c>
      <c r="H18" s="5" t="str">
        <f>VLOOKUP($B18,'2019'!$B$3:$M$298,5,0)</f>
        <v>말일</v>
      </c>
      <c r="I18" s="6">
        <f>VLOOKUP($B18,'2019'!$B$3:$M$298,6,0)</f>
        <v>7</v>
      </c>
      <c r="J18" s="7">
        <f>VLOOKUP($B18,'2019'!$B$3:$M$298,12,0)</f>
        <v>110000</v>
      </c>
    </row>
    <row r="19" spans="1:10" ht="24.75" customHeight="1" x14ac:dyDescent="0.3">
      <c r="A19" s="2">
        <f t="shared" si="0"/>
        <v>17</v>
      </c>
      <c r="B19" s="138" t="s">
        <v>22</v>
      </c>
      <c r="C19" s="137" t="str">
        <f>VLOOKUP($B19,'2019'!$B$3:$M$298,2,0)</f>
        <v>641-87-00345</v>
      </c>
      <c r="D19" s="4">
        <f>VLOOKUP($B19,'2019'!$B$3:$M$298,7,0)</f>
        <v>43160</v>
      </c>
      <c r="E19" s="4">
        <f>VLOOKUP($B19,'2019'!$B$3:$M$298,8,0)</f>
        <v>43524</v>
      </c>
      <c r="F19" s="107" t="str">
        <f t="shared" ca="1" si="1"/>
        <v/>
      </c>
      <c r="G19" s="5" t="str">
        <f>VLOOKUP($B19,'2019'!$B$3:$M$298,4,0)</f>
        <v>초일</v>
      </c>
      <c r="H19" s="5" t="str">
        <f>VLOOKUP($B19,'2019'!$B$3:$M$298,5,0)</f>
        <v>말일</v>
      </c>
      <c r="I19" s="6">
        <f>VLOOKUP($B19,'2019'!$B$3:$M$298,6,0)</f>
        <v>7</v>
      </c>
      <c r="J19" s="7">
        <f>VLOOKUP($B19,'2019'!$B$3:$M$298,12,0)</f>
        <v>88000</v>
      </c>
    </row>
    <row r="20" spans="1:10" s="187" customFormat="1" ht="24.75" customHeight="1" x14ac:dyDescent="0.3">
      <c r="A20" s="2">
        <f t="shared" si="0"/>
        <v>18</v>
      </c>
      <c r="B20" s="138" t="s">
        <v>489</v>
      </c>
      <c r="C20" s="137" t="str">
        <f>VLOOKUP($B20,'2019'!$B$3:$M$298,2,0)</f>
        <v>656-05-12321</v>
      </c>
      <c r="D20" s="4">
        <f>VLOOKUP($B20,'2019'!$B$3:$M$298,7,0)</f>
        <v>43783</v>
      </c>
      <c r="E20" s="4">
        <f>VLOOKUP($B20,'2019'!$B$3:$M$298,8,0)</f>
        <v>44148</v>
      </c>
      <c r="F20" s="107" t="str">
        <f t="shared" ref="F20" ca="1" si="2">IF(AND(IFERROR(DATEDIF(TODAY(),DATE(YEAR(TODAY()),MONTH(E20),DAY(E20)),"M"),0)&gt;0,IFERROR(DATEDIF(TODAY(),DATE(YEAR(TODAY()),MONTH(E20),DAY(E20)),"M"),0)&lt;=3),"계약갱신("&amp;IFERROR(DATEDIF(TODAY(),DATE(YEAR(TODAY()),MONTH(E20),DAY(E20)),"M"),0)&amp;"월)","")</f>
        <v/>
      </c>
      <c r="G20" s="5" t="str">
        <f>VLOOKUP($B20,'2019'!$B$3:$M$298,4,0)</f>
        <v>초일</v>
      </c>
      <c r="H20" s="5" t="str">
        <f>VLOOKUP($B20,'2019'!$B$3:$M$298,5,0)</f>
        <v>말일</v>
      </c>
      <c r="I20" s="6">
        <f>VLOOKUP($B20,'2019'!$B$3:$M$298,6,0)</f>
        <v>10</v>
      </c>
      <c r="J20" s="7">
        <f>VLOOKUP($B20,'2019'!$B$3:$M$298,12,0)</f>
        <v>110000</v>
      </c>
    </row>
    <row r="21" spans="1:10" ht="24.75" customHeight="1" x14ac:dyDescent="0.3">
      <c r="A21" s="2">
        <f t="shared" si="0"/>
        <v>19</v>
      </c>
      <c r="B21" s="138" t="s">
        <v>405</v>
      </c>
      <c r="C21" s="137" t="str">
        <f>VLOOKUP($B21,'2019'!$B$3:$M$298,2,0)</f>
        <v>132-92-39734</v>
      </c>
      <c r="D21" s="4">
        <f>VLOOKUP($B21,'2019'!$B$3:$M$298,7,0)</f>
        <v>43600</v>
      </c>
      <c r="E21" s="4">
        <f>VLOOKUP($B21,'2019'!$B$3:$M$298,8,0)</f>
        <v>43965</v>
      </c>
      <c r="F21" s="107" t="str">
        <f t="shared" ca="1" si="1"/>
        <v/>
      </c>
      <c r="G21" s="5" t="str">
        <f>VLOOKUP($B21,'2019'!$B$3:$M$298,4,0)</f>
        <v>초일</v>
      </c>
      <c r="H21" s="5" t="str">
        <f>VLOOKUP($B21,'2019'!$B$3:$M$298,5,0)</f>
        <v>말일</v>
      </c>
      <c r="I21" s="6">
        <f>VLOOKUP($B21,'2019'!$B$3:$M$298,6,0)</f>
        <v>10</v>
      </c>
      <c r="J21" s="7">
        <f>VLOOKUP($B21,'2019'!$B$3:$M$298,12,0)</f>
        <v>440000</v>
      </c>
    </row>
    <row r="22" spans="1:10" ht="24.75" customHeight="1" x14ac:dyDescent="0.3">
      <c r="A22" s="2">
        <f t="shared" si="0"/>
        <v>20</v>
      </c>
      <c r="B22" s="138" t="s">
        <v>23</v>
      </c>
      <c r="C22" s="137" t="str">
        <f>VLOOKUP($B22,'2019'!$B$3:$M$298,2,0)</f>
        <v>732-91-00686</v>
      </c>
      <c r="D22" s="4">
        <f>VLOOKUP($B22,'2019'!$B$3:$M$298,7,0)</f>
        <v>43405</v>
      </c>
      <c r="E22" s="4">
        <f>VLOOKUP($B22,'2019'!$B$3:$M$298,8,0)</f>
        <v>43769</v>
      </c>
      <c r="F22" s="107" t="str">
        <f t="shared" ca="1" si="1"/>
        <v/>
      </c>
      <c r="G22" s="5" t="str">
        <f>VLOOKUP($B22,'2019'!$B$3:$M$298,4,0)</f>
        <v>초일</v>
      </c>
      <c r="H22" s="5" t="str">
        <f>VLOOKUP($B22,'2019'!$B$3:$M$298,5,0)</f>
        <v>말일</v>
      </c>
      <c r="I22" s="6">
        <f>VLOOKUP($B22,'2019'!$B$3:$M$298,6,0)</f>
        <v>10</v>
      </c>
      <c r="J22" s="7">
        <f>VLOOKUP($B22,'2019'!$B$3:$M$298,12,0)</f>
        <v>121000</v>
      </c>
    </row>
    <row r="23" spans="1:10" ht="24.75" customHeight="1" x14ac:dyDescent="0.3">
      <c r="A23" s="2">
        <f t="shared" si="0"/>
        <v>21</v>
      </c>
      <c r="B23" s="138" t="s">
        <v>24</v>
      </c>
      <c r="C23" s="137" t="str">
        <f>VLOOKUP($B23,'2019'!$B$3:$M$298,2,0)</f>
        <v>209-81-59470</v>
      </c>
      <c r="D23" s="4">
        <f>VLOOKUP($B23,'2019'!$B$3:$M$298,7,0)</f>
        <v>43063</v>
      </c>
      <c r="E23" s="4">
        <f>VLOOKUP($B23,'2019'!$B$3:$M$298,8,0)</f>
        <v>43465</v>
      </c>
      <c r="F23" s="107" t="str">
        <f t="shared" ca="1" si="1"/>
        <v/>
      </c>
      <c r="G23" s="5" t="str">
        <f>VLOOKUP($B23,'2019'!$B$3:$M$298,4,0)</f>
        <v>초일</v>
      </c>
      <c r="H23" s="5" t="str">
        <f>VLOOKUP($B23,'2019'!$B$3:$M$298,5,0)</f>
        <v>말일</v>
      </c>
      <c r="I23" s="6">
        <f>VLOOKUP($B23,'2019'!$B$3:$M$298,6,0)</f>
        <v>10</v>
      </c>
      <c r="J23" s="7">
        <f>VLOOKUP($B23,'2019'!$B$3:$M$298,12,0)</f>
        <v>110000</v>
      </c>
    </row>
    <row r="24" spans="1:10" ht="24.75" customHeight="1" x14ac:dyDescent="0.3">
      <c r="A24" s="2">
        <f t="shared" si="0"/>
        <v>22</v>
      </c>
      <c r="B24" s="138" t="s">
        <v>25</v>
      </c>
      <c r="C24" s="137" t="str">
        <f>VLOOKUP($B24,'2019'!$B$3:$M$298,2,0)</f>
        <v>508-09-44771</v>
      </c>
      <c r="D24" s="4">
        <f>VLOOKUP($B24,'2019'!$B$3:$M$298,7,0)</f>
        <v>43132</v>
      </c>
      <c r="E24" s="4">
        <f>VLOOKUP($B24,'2019'!$B$3:$M$298,8,0)</f>
        <v>43496</v>
      </c>
      <c r="F24" s="107" t="str">
        <f t="shared" ca="1" si="1"/>
        <v/>
      </c>
      <c r="G24" s="5" t="str">
        <f>VLOOKUP($B24,'2019'!$B$3:$M$298,4,0)</f>
        <v>초일</v>
      </c>
      <c r="H24" s="5" t="str">
        <f>VLOOKUP($B24,'2019'!$B$3:$M$298,5,0)</f>
        <v>말일</v>
      </c>
      <c r="I24" s="6">
        <f>VLOOKUP($B24,'2019'!$B$3:$M$298,6,0)</f>
        <v>10</v>
      </c>
      <c r="J24" s="7">
        <f>VLOOKUP($B24,'2019'!$B$3:$M$298,12,0)</f>
        <v>110000</v>
      </c>
    </row>
    <row r="25" spans="1:10" ht="24.75" customHeight="1" x14ac:dyDescent="0.3">
      <c r="A25" s="2">
        <f t="shared" si="0"/>
        <v>23</v>
      </c>
      <c r="B25" s="138" t="s">
        <v>27</v>
      </c>
      <c r="C25" s="137" t="str">
        <f>VLOOKUP($B25,'2019'!$B$3:$M$298,2,0)</f>
        <v>433-88-00659</v>
      </c>
      <c r="D25" s="4">
        <f>VLOOKUP($B25,'2019'!$B$3:$M$298,7,0)</f>
        <v>42956</v>
      </c>
      <c r="E25" s="4">
        <f>VLOOKUP($B25,'2019'!$B$3:$M$298,8,0)</f>
        <v>43320</v>
      </c>
      <c r="F25" s="107" t="str">
        <f t="shared" ca="1" si="1"/>
        <v>계약갱신(2월)</v>
      </c>
      <c r="G25" s="5" t="str">
        <f>VLOOKUP($B25,'2019'!$B$3:$M$298,4,0)</f>
        <v>초일</v>
      </c>
      <c r="H25" s="5" t="str">
        <f>VLOOKUP($B25,'2019'!$B$3:$M$298,5,0)</f>
        <v>말일</v>
      </c>
      <c r="I25" s="6">
        <f>VLOOKUP($B25,'2019'!$B$3:$M$298,6,0)</f>
        <v>10</v>
      </c>
      <c r="J25" s="7">
        <f>VLOOKUP($B25,'2019'!$B$3:$M$298,12,0)</f>
        <v>110000</v>
      </c>
    </row>
    <row r="26" spans="1:10" ht="24.75" customHeight="1" x14ac:dyDescent="0.3">
      <c r="A26" s="2">
        <f t="shared" si="0"/>
        <v>24</v>
      </c>
      <c r="B26" s="138" t="s">
        <v>29</v>
      </c>
      <c r="C26" s="137" t="str">
        <f>VLOOKUP($B26,'2019'!$B$3:$M$298,2,0)</f>
        <v>127-46-80442</v>
      </c>
      <c r="D26" s="4">
        <f>VLOOKUP($B26,'2019'!$B$3:$M$298,7,0)</f>
        <v>43207</v>
      </c>
      <c r="E26" s="4">
        <f>VLOOKUP($B26,'2019'!$B$3:$M$298,8,0)</f>
        <v>43571</v>
      </c>
      <c r="F26" s="107" t="str">
        <f t="shared" ca="1" si="1"/>
        <v/>
      </c>
      <c r="G26" s="5" t="str">
        <f>VLOOKUP($B26,'2019'!$B$3:$M$298,4,0)</f>
        <v>초일</v>
      </c>
      <c r="H26" s="5" t="str">
        <f>VLOOKUP($B26,'2019'!$B$3:$M$298,5,0)</f>
        <v>말일</v>
      </c>
      <c r="I26" s="6">
        <f>VLOOKUP($B26,'2019'!$B$3:$M$298,6,0)</f>
        <v>10</v>
      </c>
      <c r="J26" s="7">
        <f>VLOOKUP($B26,'2019'!$B$3:$M$298,12,0)</f>
        <v>110000</v>
      </c>
    </row>
    <row r="27" spans="1:10" ht="24.75" customHeight="1" x14ac:dyDescent="0.3">
      <c r="A27" s="2">
        <f t="shared" si="0"/>
        <v>25</v>
      </c>
      <c r="B27" s="138" t="s">
        <v>30</v>
      </c>
      <c r="C27" s="137" t="str">
        <f>VLOOKUP($B27,'2019'!$B$3:$M$298,2,0)</f>
        <v>113-09-68390</v>
      </c>
      <c r="D27" s="4">
        <f>VLOOKUP($B27,'2019'!$B$3:$M$298,7,0)</f>
        <v>43180</v>
      </c>
      <c r="E27" s="4">
        <f>VLOOKUP($B27,'2019'!$B$3:$M$298,8,0)</f>
        <v>43544</v>
      </c>
      <c r="F27" s="107" t="str">
        <f t="shared" ca="1" si="1"/>
        <v/>
      </c>
      <c r="G27" s="5" t="str">
        <f>VLOOKUP($B27,'2019'!$B$3:$M$298,4,0)</f>
        <v>초일</v>
      </c>
      <c r="H27" s="5" t="str">
        <f>VLOOKUP($B27,'2019'!$B$3:$M$298,5,0)</f>
        <v>말일</v>
      </c>
      <c r="I27" s="6">
        <f>VLOOKUP($B27,'2019'!$B$3:$M$298,6,0)</f>
        <v>10</v>
      </c>
      <c r="J27" s="7">
        <f>VLOOKUP($B27,'2019'!$B$3:$M$298,12,0)</f>
        <v>110000</v>
      </c>
    </row>
    <row r="28" spans="1:10" ht="24.75" customHeight="1" x14ac:dyDescent="0.3">
      <c r="A28" s="2">
        <f t="shared" si="0"/>
        <v>26</v>
      </c>
      <c r="B28" s="138" t="s">
        <v>31</v>
      </c>
      <c r="C28" s="137" t="str">
        <f>VLOOKUP($B28,'2019'!$B$3:$M$298,2,0)</f>
        <v>204-86-33669</v>
      </c>
      <c r="D28" s="4">
        <f>VLOOKUP($B28,'2019'!$B$3:$M$298,7,0)</f>
        <v>43388</v>
      </c>
      <c r="E28" s="4">
        <f>VLOOKUP($B28,'2019'!$B$3:$M$298,8,0)</f>
        <v>43752</v>
      </c>
      <c r="F28" s="107" t="str">
        <f t="shared" ca="1" si="1"/>
        <v/>
      </c>
      <c r="G28" s="5" t="str">
        <f>VLOOKUP($B28,'2019'!$B$3:$M$298,4,0)</f>
        <v>초일</v>
      </c>
      <c r="H28" s="5" t="str">
        <f>VLOOKUP($B28,'2019'!$B$3:$M$298,5,0)</f>
        <v>말일</v>
      </c>
      <c r="I28" s="6">
        <f>VLOOKUP($B28,'2019'!$B$3:$M$298,6,0)</f>
        <v>10</v>
      </c>
      <c r="J28" s="7">
        <f>VLOOKUP($B28,'2019'!$B$3:$M$298,12,0)</f>
        <v>165000</v>
      </c>
    </row>
    <row r="29" spans="1:10" ht="24.75" customHeight="1" x14ac:dyDescent="0.3">
      <c r="A29" s="2">
        <f t="shared" si="0"/>
        <v>27</v>
      </c>
      <c r="B29" s="138" t="s">
        <v>32</v>
      </c>
      <c r="C29" s="137" t="str">
        <f>VLOOKUP($B29,'2019'!$B$3:$M$298,2,0)</f>
        <v>128-87-02947</v>
      </c>
      <c r="D29" s="4">
        <f>VLOOKUP($B29,'2019'!$B$3:$M$298,7,0)</f>
        <v>43444</v>
      </c>
      <c r="E29" s="4">
        <f>VLOOKUP($B29,'2019'!$B$3:$M$298,8,0)</f>
        <v>43830</v>
      </c>
      <c r="F29" s="107" t="str">
        <f t="shared" ca="1" si="1"/>
        <v/>
      </c>
      <c r="G29" s="5" t="str">
        <f>VLOOKUP($B29,'2019'!$B$3:$M$298,4,0)</f>
        <v>초일</v>
      </c>
      <c r="H29" s="5" t="str">
        <f>VLOOKUP($B29,'2019'!$B$3:$M$298,5,0)</f>
        <v>말일</v>
      </c>
      <c r="I29" s="6">
        <f>VLOOKUP($B29,'2019'!$B$3:$M$298,6,0)</f>
        <v>10</v>
      </c>
      <c r="J29" s="7">
        <f>VLOOKUP($B29,'2019'!$B$3:$M$298,12,0)</f>
        <v>220000</v>
      </c>
    </row>
    <row r="30" spans="1:10" ht="24.75" customHeight="1" x14ac:dyDescent="0.3">
      <c r="A30" s="2">
        <f t="shared" si="0"/>
        <v>28</v>
      </c>
      <c r="B30" s="138" t="s">
        <v>392</v>
      </c>
      <c r="C30" s="137" t="str">
        <f>VLOOKUP($B30,'2019'!$B$3:$M$298,2,0)</f>
        <v>124-47-16365</v>
      </c>
      <c r="D30" s="4">
        <f>VLOOKUP($B30,'2019'!$B$3:$M$298,7,0)</f>
        <v>43556</v>
      </c>
      <c r="E30" s="4">
        <f>VLOOKUP($B30,'2019'!$B$3:$M$298,8,0)</f>
        <v>43921</v>
      </c>
      <c r="F30" s="107" t="str">
        <f t="shared" ca="1" si="1"/>
        <v/>
      </c>
      <c r="G30" s="5" t="str">
        <f>VLOOKUP($B30,'2019'!$B$3:$M$298,4,0)</f>
        <v>초일</v>
      </c>
      <c r="H30" s="5" t="str">
        <f>VLOOKUP($B30,'2019'!$B$3:$M$298,5,0)</f>
        <v>말일</v>
      </c>
      <c r="I30" s="6">
        <f>VLOOKUP($B30,'2019'!$B$3:$M$298,6,0)</f>
        <v>10</v>
      </c>
      <c r="J30" s="7">
        <f>VLOOKUP($B30,'2019'!$B$3:$M$298,12,0)</f>
        <v>110000</v>
      </c>
    </row>
    <row r="31" spans="1:10" ht="24.75" customHeight="1" x14ac:dyDescent="0.3">
      <c r="A31" s="2">
        <f t="shared" si="0"/>
        <v>29</v>
      </c>
      <c r="B31" s="138" t="s">
        <v>33</v>
      </c>
      <c r="C31" s="137" t="str">
        <f>VLOOKUP($B31,'2019'!$B$3:$M$298,2,0)</f>
        <v>127-81-84338</v>
      </c>
      <c r="D31" s="4">
        <f>VLOOKUP($B31,'2019'!$B$3:$M$298,7,0)</f>
        <v>43132</v>
      </c>
      <c r="E31" s="4">
        <f>VLOOKUP($B31,'2019'!$B$3:$M$298,8,0)</f>
        <v>43312</v>
      </c>
      <c r="F31" s="107" t="str">
        <f t="shared" ca="1" si="1"/>
        <v>계약갱신(2월)</v>
      </c>
      <c r="G31" s="5" t="str">
        <f>VLOOKUP($B31,'2019'!$B$3:$M$298,4,0)</f>
        <v>초일</v>
      </c>
      <c r="H31" s="5" t="str">
        <f>VLOOKUP($B31,'2019'!$B$3:$M$298,5,0)</f>
        <v>말일</v>
      </c>
      <c r="I31" s="6">
        <f>VLOOKUP($B31,'2019'!$B$3:$M$298,6,0)</f>
        <v>11</v>
      </c>
      <c r="J31" s="7">
        <f>VLOOKUP($B31,'2019'!$B$3:$M$298,12,0)</f>
        <v>330000</v>
      </c>
    </row>
    <row r="32" spans="1:10" ht="24.75" customHeight="1" x14ac:dyDescent="0.3">
      <c r="A32" s="2">
        <f t="shared" si="0"/>
        <v>30</v>
      </c>
      <c r="B32" s="138" t="s">
        <v>34</v>
      </c>
      <c r="C32" s="137" t="str">
        <f>VLOOKUP($B32,'2019'!$B$3:$M$298,2,0)</f>
        <v>210-13-89960</v>
      </c>
      <c r="D32" s="4">
        <f>VLOOKUP($B32,'2019'!$B$3:$M$298,7,0)</f>
        <v>42915</v>
      </c>
      <c r="E32" s="4">
        <f>VLOOKUP($B32,'2019'!$B$3:$M$298,8,0)</f>
        <v>43644</v>
      </c>
      <c r="F32" s="107" t="str">
        <f t="shared" ca="1" si="1"/>
        <v>계약갱신(1월)</v>
      </c>
      <c r="G32" s="5">
        <f>VLOOKUP($B32,'2019'!$B$3:$M$298,4,0)</f>
        <v>15</v>
      </c>
      <c r="H32" s="5">
        <f>VLOOKUP($B32,'2019'!$B$3:$M$298,5,0)</f>
        <v>14</v>
      </c>
      <c r="I32" s="6">
        <f>VLOOKUP($B32,'2019'!$B$3:$M$298,6,0)</f>
        <v>15</v>
      </c>
      <c r="J32" s="7">
        <f>VLOOKUP($B32,'2019'!$B$3:$M$298,12,0)</f>
        <v>132000</v>
      </c>
    </row>
    <row r="33" spans="1:10" ht="24.75" customHeight="1" x14ac:dyDescent="0.3">
      <c r="A33" s="2">
        <f t="shared" si="0"/>
        <v>31</v>
      </c>
      <c r="B33" s="138" t="s">
        <v>35</v>
      </c>
      <c r="C33" s="137" t="str">
        <f>VLOOKUP($B33,'2019'!$B$3:$M$298,2,0)</f>
        <v>210-50-60783</v>
      </c>
      <c r="D33" s="4">
        <f>VLOOKUP($B33,'2019'!$B$3:$M$298,7,0)</f>
        <v>42826</v>
      </c>
      <c r="E33" s="4">
        <f>VLOOKUP($B33,'2019'!$B$3:$M$298,8,0)</f>
        <v>43190</v>
      </c>
      <c r="F33" s="107" t="str">
        <f t="shared" ca="1" si="1"/>
        <v/>
      </c>
      <c r="G33" s="5" t="str">
        <f>VLOOKUP($B33,'2019'!$B$3:$M$298,4,0)</f>
        <v>초일</v>
      </c>
      <c r="H33" s="5" t="str">
        <f>VLOOKUP($B33,'2019'!$B$3:$M$298,5,0)</f>
        <v>말일</v>
      </c>
      <c r="I33" s="6">
        <f>VLOOKUP($B33,'2019'!$B$3:$M$298,6,0)</f>
        <v>25</v>
      </c>
      <c r="J33" s="7">
        <f>VLOOKUP($B33,'2019'!$B$3:$M$298,12,0)</f>
        <v>110000</v>
      </c>
    </row>
    <row r="34" spans="1:10" ht="24.75" customHeight="1" x14ac:dyDescent="0.3">
      <c r="A34" s="2">
        <f t="shared" si="0"/>
        <v>32</v>
      </c>
      <c r="B34" s="138" t="s">
        <v>36</v>
      </c>
      <c r="C34" s="137" t="str">
        <f>VLOOKUP($B34,'2019'!$B$3:$M$298,2,0)</f>
        <v>223-82-66222</v>
      </c>
      <c r="D34" s="4">
        <f>VLOOKUP($B34,'2019'!$B$3:$M$298,7,0)</f>
        <v>42985</v>
      </c>
      <c r="E34" s="4">
        <f>VLOOKUP($B34,'2019'!$B$3:$M$298,8,0)</f>
        <v>43714</v>
      </c>
      <c r="F34" s="107" t="str">
        <f t="shared" ca="1" si="1"/>
        <v>계약갱신(3월)</v>
      </c>
      <c r="G34" s="5">
        <f>VLOOKUP($B34,'2019'!$B$3:$M$298,4,0)</f>
        <v>25</v>
      </c>
      <c r="H34" s="5">
        <f>VLOOKUP($B34,'2019'!$B$3:$M$298,5,0)</f>
        <v>24</v>
      </c>
      <c r="I34" s="6">
        <f>VLOOKUP($B34,'2019'!$B$3:$M$298,6,0)</f>
        <v>25</v>
      </c>
      <c r="J34" s="7">
        <f>VLOOKUP($B34,'2019'!$B$3:$M$298,12,0)</f>
        <v>110000</v>
      </c>
    </row>
    <row r="35" spans="1:10" ht="24.75" customHeight="1" x14ac:dyDescent="0.3">
      <c r="A35" s="2">
        <f t="shared" si="0"/>
        <v>33</v>
      </c>
      <c r="B35" s="138" t="s">
        <v>37</v>
      </c>
      <c r="C35" s="137" t="str">
        <f>VLOOKUP($B35,'2019'!$B$3:$M$298,2,0)</f>
        <v>210-17-10952</v>
      </c>
      <c r="D35" s="4">
        <f>VLOOKUP($B35,'2019'!$B$3:$M$298,7,0)</f>
        <v>42522</v>
      </c>
      <c r="E35" s="4">
        <f>VLOOKUP($B35,'2019'!$B$3:$M$298,8,0)</f>
        <v>42886</v>
      </c>
      <c r="F35" s="107" t="str">
        <f t="shared" ca="1" si="1"/>
        <v/>
      </c>
      <c r="G35" s="5">
        <f>VLOOKUP($B35,'2019'!$B$3:$M$298,4,0)</f>
        <v>26</v>
      </c>
      <c r="H35" s="5">
        <f>VLOOKUP($B35,'2019'!$B$3:$M$298,5,0)</f>
        <v>25</v>
      </c>
      <c r="I35" s="6">
        <f>VLOOKUP($B35,'2019'!$B$3:$M$298,6,0)</f>
        <v>25</v>
      </c>
      <c r="J35" s="7">
        <f>VLOOKUP($B35,'2019'!$B$3:$M$298,12,0)</f>
        <v>55000</v>
      </c>
    </row>
    <row r="36" spans="1:10" ht="24.75" customHeight="1" x14ac:dyDescent="0.3">
      <c r="A36" s="2">
        <f t="shared" si="0"/>
        <v>34</v>
      </c>
      <c r="B36" s="138" t="s">
        <v>38</v>
      </c>
      <c r="C36" s="137" t="str">
        <f>VLOOKUP($B36,'2019'!$B$3:$M$298,2,0)</f>
        <v>616-05-98681</v>
      </c>
      <c r="D36" s="4">
        <f>VLOOKUP($B36,'2019'!$B$3:$M$298,7,0)</f>
        <v>0</v>
      </c>
      <c r="E36" s="4">
        <f>VLOOKUP($B36,'2019'!$B$3:$M$298,8,0)</f>
        <v>0</v>
      </c>
      <c r="F36" s="107" t="str">
        <f t="shared" ca="1" si="1"/>
        <v/>
      </c>
      <c r="G36" s="5" t="str">
        <f>VLOOKUP($B36,'2019'!$B$3:$M$298,4,0)</f>
        <v>초일</v>
      </c>
      <c r="H36" s="5" t="str">
        <f>VLOOKUP($B36,'2019'!$B$3:$M$298,5,0)</f>
        <v>말일</v>
      </c>
      <c r="I36" s="6">
        <f>VLOOKUP($B36,'2019'!$B$3:$M$298,6,0)</f>
        <v>25</v>
      </c>
      <c r="J36" s="7">
        <f>VLOOKUP($B36,'2019'!$B$3:$M$298,12,0)</f>
        <v>110000</v>
      </c>
    </row>
    <row r="37" spans="1:10" ht="24.75" customHeight="1" x14ac:dyDescent="0.3">
      <c r="A37" s="2">
        <f t="shared" si="0"/>
        <v>35</v>
      </c>
      <c r="B37" s="138" t="s">
        <v>340</v>
      </c>
      <c r="C37" s="137" t="str">
        <f>VLOOKUP($B37,'2019'!$B$3:$M$298,2,0)</f>
        <v>217-81-34257</v>
      </c>
      <c r="D37" s="4">
        <f>VLOOKUP($B37,'2019'!$B$3:$M$298,7,0)</f>
        <v>43491</v>
      </c>
      <c r="E37" s="4">
        <f>VLOOKUP($B37,'2019'!$B$3:$M$298,8,0)</f>
        <v>43855</v>
      </c>
      <c r="F37" s="107" t="str">
        <f t="shared" ca="1" si="1"/>
        <v/>
      </c>
      <c r="G37" s="5">
        <f>VLOOKUP($B37,'2019'!$B$3:$M$298,4,0)</f>
        <v>26</v>
      </c>
      <c r="H37" s="5">
        <f>VLOOKUP($B37,'2019'!$B$3:$M$298,5,0)</f>
        <v>25</v>
      </c>
      <c r="I37" s="6">
        <f>VLOOKUP($B37,'2019'!$B$3:$M$298,6,0)</f>
        <v>25</v>
      </c>
      <c r="J37" s="7">
        <f>VLOOKUP($B37,'2019'!$B$3:$M$298,12,0)</f>
        <v>132000</v>
      </c>
    </row>
    <row r="38" spans="1:10" ht="24.75" customHeight="1" x14ac:dyDescent="0.3">
      <c r="A38" s="2">
        <f t="shared" si="0"/>
        <v>36</v>
      </c>
      <c r="B38" s="138" t="s">
        <v>39</v>
      </c>
      <c r="C38" s="137" t="str">
        <f>VLOOKUP($B38,'2019'!$B$3:$M$298,2,0)</f>
        <v>210-36-40234</v>
      </c>
      <c r="D38" s="4">
        <f>VLOOKUP($B38,'2019'!$B$3:$M$298,7,0)</f>
        <v>42913</v>
      </c>
      <c r="E38" s="4">
        <f>VLOOKUP($B38,'2019'!$B$3:$M$298,8,0)</f>
        <v>43277</v>
      </c>
      <c r="F38" s="107" t="str">
        <f t="shared" ca="1" si="1"/>
        <v>계약갱신(1월)</v>
      </c>
      <c r="G38" s="5" t="str">
        <f>VLOOKUP($B38,'2019'!$B$3:$M$298,4,0)</f>
        <v>초일</v>
      </c>
      <c r="H38" s="5" t="str">
        <f>VLOOKUP($B38,'2019'!$B$3:$M$298,5,0)</f>
        <v>말일</v>
      </c>
      <c r="I38" s="6">
        <f>VLOOKUP($B38,'2019'!$B$3:$M$298,6,0)</f>
        <v>31</v>
      </c>
      <c r="J38" s="7">
        <f>VLOOKUP($B38,'2019'!$B$3:$M$298,12,0)</f>
        <v>77000</v>
      </c>
    </row>
    <row r="39" spans="1:10" ht="24.75" customHeight="1" x14ac:dyDescent="0.3">
      <c r="A39" s="2">
        <f t="shared" si="0"/>
        <v>37</v>
      </c>
      <c r="B39" s="138" t="s">
        <v>40</v>
      </c>
      <c r="C39" s="137" t="str">
        <f>VLOOKUP($B39,'2019'!$B$3:$M$298,2,0)</f>
        <v>421-18-00459</v>
      </c>
      <c r="D39" s="4">
        <f>VLOOKUP($B39,'2019'!$B$3:$M$298,7,0)</f>
        <v>42901</v>
      </c>
      <c r="E39" s="4">
        <f>VLOOKUP($B39,'2019'!$B$3:$M$298,8,0)</f>
        <v>43630</v>
      </c>
      <c r="F39" s="107" t="str">
        <f t="shared" ca="1" si="1"/>
        <v/>
      </c>
      <c r="G39" s="5" t="str">
        <f>VLOOKUP($B39,'2019'!$B$3:$M$298,4,0)</f>
        <v>초일</v>
      </c>
      <c r="H39" s="5" t="str">
        <f>VLOOKUP($B39,'2019'!$B$3:$M$298,5,0)</f>
        <v>말일</v>
      </c>
      <c r="I39" s="6">
        <f>VLOOKUP($B39,'2019'!$B$3:$M$298,6,0)</f>
        <v>31</v>
      </c>
      <c r="J39" s="7">
        <f>VLOOKUP($B39,'2019'!$B$3:$M$298,12,0)</f>
        <v>110000</v>
      </c>
    </row>
    <row r="40" spans="1:10" ht="24.75" customHeight="1" x14ac:dyDescent="0.3">
      <c r="A40" s="2">
        <f t="shared" si="0"/>
        <v>38</v>
      </c>
      <c r="B40" s="138" t="s">
        <v>41</v>
      </c>
      <c r="C40" s="137" t="str">
        <f>VLOOKUP($B40,'2019'!$B$3:$M$298,2,0)</f>
        <v>738-86-00579</v>
      </c>
      <c r="D40" s="4">
        <f>VLOOKUP($B40,'2019'!$B$3:$M$298,7,0)</f>
        <v>42736</v>
      </c>
      <c r="E40" s="4">
        <f>VLOOKUP($B40,'2019'!$B$3:$M$298,8,0)</f>
        <v>43100</v>
      </c>
      <c r="F40" s="107" t="str">
        <f t="shared" ca="1" si="1"/>
        <v/>
      </c>
      <c r="G40" s="5" t="str">
        <f>VLOOKUP($B40,'2019'!$B$3:$M$298,4,0)</f>
        <v>초일</v>
      </c>
      <c r="H40" s="5" t="str">
        <f>VLOOKUP($B40,'2019'!$B$3:$M$298,5,0)</f>
        <v>말일</v>
      </c>
      <c r="I40" s="6">
        <f>VLOOKUP($B40,'2019'!$B$3:$M$298,6,0)</f>
        <v>31</v>
      </c>
      <c r="J40" s="7">
        <f>VLOOKUP($B40,'2019'!$B$3:$M$298,12,0)</f>
        <v>77000</v>
      </c>
    </row>
    <row r="41" spans="1:10" ht="24.75" customHeight="1" x14ac:dyDescent="0.3">
      <c r="A41" s="2">
        <f t="shared" si="0"/>
        <v>39</v>
      </c>
      <c r="B41" s="138" t="s">
        <v>42</v>
      </c>
      <c r="C41" s="137" t="str">
        <f>VLOOKUP($B41,'2019'!$B$3:$M$298,2,0)</f>
        <v>210-81-75072</v>
      </c>
      <c r="D41" s="4">
        <f>VLOOKUP($B41,'2019'!$B$3:$M$298,7,0)</f>
        <v>42950</v>
      </c>
      <c r="E41" s="4">
        <f>VLOOKUP($B41,'2019'!$B$3:$M$298,8,0)</f>
        <v>43314</v>
      </c>
      <c r="F41" s="107" t="str">
        <f t="shared" ca="1" si="1"/>
        <v>계약갱신(2월)</v>
      </c>
      <c r="G41" s="5" t="str">
        <f>VLOOKUP($B41,'2019'!$B$3:$M$298,4,0)</f>
        <v>초일</v>
      </c>
      <c r="H41" s="5" t="str">
        <f>VLOOKUP($B41,'2019'!$B$3:$M$298,5,0)</f>
        <v>말일</v>
      </c>
      <c r="I41" s="6">
        <f>VLOOKUP($B41,'2019'!$B$3:$M$298,6,0)</f>
        <v>31</v>
      </c>
      <c r="J41" s="7">
        <f>VLOOKUP($B41,'2019'!$B$3:$M$298,12,0)</f>
        <v>143000</v>
      </c>
    </row>
    <row r="42" spans="1:10" ht="24.75" customHeight="1" x14ac:dyDescent="0.3">
      <c r="A42" s="2">
        <f t="shared" si="0"/>
        <v>40</v>
      </c>
      <c r="B42" s="138" t="s">
        <v>43</v>
      </c>
      <c r="C42" s="137" t="str">
        <f>VLOOKUP($B42,'2019'!$B$3:$M$298,2,0)</f>
        <v>217-05-71205
(911-01-29475-1)</v>
      </c>
      <c r="D42" s="4">
        <f>VLOOKUP($B42,'2019'!$B$3:$M$298,7,0)</f>
        <v>42913</v>
      </c>
      <c r="E42" s="4">
        <f>VLOOKUP($B42,'2019'!$B$3:$M$298,8,0)</f>
        <v>43277</v>
      </c>
      <c r="F42" s="107" t="str">
        <f t="shared" ca="1" si="1"/>
        <v>계약갱신(1월)</v>
      </c>
      <c r="G42" s="5" t="str">
        <f>VLOOKUP($B42,'2019'!$B$3:$M$298,4,0)</f>
        <v>초일</v>
      </c>
      <c r="H42" s="5" t="str">
        <f>VLOOKUP($B42,'2019'!$B$3:$M$298,5,0)</f>
        <v>말일</v>
      </c>
      <c r="I42" s="6">
        <f>VLOOKUP($B42,'2019'!$B$3:$M$298,6,0)</f>
        <v>31</v>
      </c>
      <c r="J42" s="7">
        <f>VLOOKUP($B42,'2019'!$B$3:$M$298,12,0)</f>
        <v>110000</v>
      </c>
    </row>
    <row r="43" spans="1:10" ht="24.75" customHeight="1" x14ac:dyDescent="0.3">
      <c r="A43" s="2">
        <f t="shared" si="0"/>
        <v>41</v>
      </c>
      <c r="B43" s="138" t="s">
        <v>44</v>
      </c>
      <c r="C43" s="137" t="str">
        <f>VLOOKUP($B43,'2019'!$B$3:$M$298,2,0)</f>
        <v>209-81-46752</v>
      </c>
      <c r="D43" s="4">
        <f>VLOOKUP($B43,'2019'!$B$3:$M$298,7,0)</f>
        <v>43070</v>
      </c>
      <c r="E43" s="4">
        <f>VLOOKUP($B43,'2019'!$B$3:$M$298,8,0)</f>
        <v>43465</v>
      </c>
      <c r="F43" s="107" t="str">
        <f t="shared" ca="1" si="1"/>
        <v/>
      </c>
      <c r="G43" s="5" t="str">
        <f>VLOOKUP($B43,'2019'!$B$3:$M$298,4,0)</f>
        <v>초일</v>
      </c>
      <c r="H43" s="5" t="str">
        <f>VLOOKUP($B43,'2019'!$B$3:$M$298,5,0)</f>
        <v>말일</v>
      </c>
      <c r="I43" s="6">
        <f>VLOOKUP($B43,'2019'!$B$3:$M$298,6,0)</f>
        <v>31</v>
      </c>
      <c r="J43" s="7">
        <f>VLOOKUP($B43,'2019'!$B$3:$M$298,12,0)</f>
        <v>110000</v>
      </c>
    </row>
    <row r="44" spans="1:10" ht="24.75" customHeight="1" x14ac:dyDescent="0.3">
      <c r="A44" s="2">
        <f t="shared" si="0"/>
        <v>42</v>
      </c>
      <c r="B44" s="138" t="s">
        <v>427</v>
      </c>
      <c r="C44" s="137" t="str">
        <f>VLOOKUP($B44,'2019'!$B$3:$M$298,2,0)</f>
        <v>748-80-00706</v>
      </c>
      <c r="D44" s="4">
        <f>VLOOKUP($B44,'2019'!$B$3:$M$298,7,0)</f>
        <v>42917</v>
      </c>
      <c r="E44" s="4">
        <f>VLOOKUP($B44,'2019'!$B$3:$M$298,8,0)</f>
        <v>43281</v>
      </c>
      <c r="F44" s="107" t="str">
        <f t="shared" ca="1" si="1"/>
        <v>계약갱신(1월)</v>
      </c>
      <c r="G44" s="5" t="str">
        <f>VLOOKUP($B44,'2019'!$B$3:$M$298,4,0)</f>
        <v>초일</v>
      </c>
      <c r="H44" s="5" t="str">
        <f>VLOOKUP($B44,'2019'!$B$3:$M$298,5,0)</f>
        <v>말일</v>
      </c>
      <c r="I44" s="6">
        <f>VLOOKUP($B44,'2019'!$B$3:$M$298,6,0)</f>
        <v>31</v>
      </c>
      <c r="J44" s="7">
        <f>VLOOKUP($B44,'2019'!$B$3:$M$298,12,0)</f>
        <v>165000</v>
      </c>
    </row>
    <row r="45" spans="1:10" ht="24.75" customHeight="1" x14ac:dyDescent="0.3">
      <c r="A45" s="2">
        <f t="shared" si="0"/>
        <v>43</v>
      </c>
      <c r="B45" s="138" t="s">
        <v>398</v>
      </c>
      <c r="C45" s="137" t="str">
        <f>VLOOKUP($B45,'2019'!$B$3:$M$298,2,0)</f>
        <v>225-86-00020</v>
      </c>
      <c r="D45" s="4">
        <f>VLOOKUP($B45,'2019'!$B$3:$M$298,7,0)</f>
        <v>43586</v>
      </c>
      <c r="E45" s="4">
        <f>VLOOKUP($B45,'2019'!$B$3:$M$298,8,0)</f>
        <v>43951</v>
      </c>
      <c r="F45" s="107" t="str">
        <f t="shared" ca="1" si="1"/>
        <v/>
      </c>
      <c r="G45" s="5" t="str">
        <f>VLOOKUP($B45,'2019'!$B$3:$M$298,4,0)</f>
        <v>초일</v>
      </c>
      <c r="H45" s="5" t="str">
        <f>VLOOKUP($B45,'2019'!$B$3:$M$298,5,0)</f>
        <v>말일</v>
      </c>
      <c r="I45" s="6">
        <f>VLOOKUP($B45,'2019'!$B$3:$M$298,6,0)</f>
        <v>31</v>
      </c>
      <c r="J45" s="7">
        <f>VLOOKUP($B45,'2019'!$B$3:$M$298,12,0)</f>
        <v>110000</v>
      </c>
    </row>
    <row r="46" spans="1:10" ht="24.75" hidden="1" customHeight="1" x14ac:dyDescent="0.3">
      <c r="A46" s="2">
        <f t="shared" ref="A46:A53" si="3">ROW(A$1)</f>
        <v>1</v>
      </c>
      <c r="B46" s="3"/>
      <c r="C46" s="3"/>
      <c r="D46" s="4"/>
      <c r="E46" s="4"/>
      <c r="F46" s="4"/>
      <c r="G46" s="5"/>
      <c r="H46" s="5"/>
      <c r="I46" s="6"/>
      <c r="J46" s="7"/>
    </row>
    <row r="47" spans="1:10" ht="24.75" hidden="1" customHeight="1" x14ac:dyDescent="0.3">
      <c r="A47" s="2">
        <f t="shared" si="3"/>
        <v>1</v>
      </c>
      <c r="B47" s="3"/>
      <c r="C47" s="3"/>
      <c r="D47" s="4"/>
      <c r="E47" s="4"/>
      <c r="F47" s="4"/>
      <c r="G47" s="5"/>
      <c r="H47" s="5"/>
      <c r="I47" s="6"/>
      <c r="J47" s="7"/>
    </row>
    <row r="48" spans="1:10" ht="24.75" hidden="1" customHeight="1" x14ac:dyDescent="0.3">
      <c r="A48" s="2">
        <f t="shared" si="3"/>
        <v>1</v>
      </c>
      <c r="B48" s="3"/>
      <c r="C48" s="3"/>
      <c r="D48" s="4"/>
      <c r="E48" s="4"/>
      <c r="F48" s="4"/>
      <c r="G48" s="5"/>
      <c r="H48" s="5"/>
      <c r="I48" s="6"/>
      <c r="J48" s="7"/>
    </row>
    <row r="49" spans="1:10" ht="24.75" hidden="1" customHeight="1" x14ac:dyDescent="0.3">
      <c r="A49" s="2">
        <f t="shared" si="3"/>
        <v>1</v>
      </c>
      <c r="B49" s="3"/>
      <c r="C49" s="3"/>
      <c r="D49" s="4"/>
      <c r="E49" s="4"/>
      <c r="F49" s="4"/>
      <c r="G49" s="5"/>
      <c r="H49" s="5"/>
      <c r="I49" s="6"/>
      <c r="J49" s="7"/>
    </row>
    <row r="50" spans="1:10" ht="24.75" hidden="1" customHeight="1" x14ac:dyDescent="0.3">
      <c r="A50" s="2">
        <f t="shared" si="3"/>
        <v>1</v>
      </c>
      <c r="B50" s="3"/>
      <c r="C50" s="3"/>
      <c r="D50" s="4"/>
      <c r="E50" s="4"/>
      <c r="F50" s="4"/>
      <c r="G50" s="5"/>
      <c r="H50" s="5"/>
      <c r="I50" s="6"/>
      <c r="J50" s="7"/>
    </row>
    <row r="51" spans="1:10" ht="24.75" hidden="1" customHeight="1" x14ac:dyDescent="0.3">
      <c r="A51" s="2">
        <f t="shared" si="3"/>
        <v>1</v>
      </c>
      <c r="B51" s="3"/>
      <c r="C51" s="3"/>
      <c r="D51" s="4"/>
      <c r="E51" s="4"/>
      <c r="F51" s="4"/>
      <c r="G51" s="5"/>
      <c r="H51" s="5"/>
      <c r="I51" s="6"/>
      <c r="J51" s="7"/>
    </row>
    <row r="52" spans="1:10" ht="24.75" hidden="1" customHeight="1" x14ac:dyDescent="0.3">
      <c r="A52" s="2">
        <f t="shared" si="3"/>
        <v>1</v>
      </c>
      <c r="B52" s="3"/>
      <c r="C52" s="3"/>
      <c r="D52" s="4"/>
      <c r="E52" s="4"/>
      <c r="F52" s="4"/>
      <c r="G52" s="5"/>
      <c r="H52" s="5"/>
      <c r="I52" s="6"/>
      <c r="J52" s="7"/>
    </row>
    <row r="53" spans="1:10" ht="24.75" hidden="1" customHeight="1" x14ac:dyDescent="0.3">
      <c r="A53" s="2">
        <f t="shared" si="3"/>
        <v>1</v>
      </c>
      <c r="B53" s="3"/>
      <c r="C53" s="3"/>
      <c r="D53" s="4"/>
      <c r="E53" s="4"/>
      <c r="F53" s="4"/>
      <c r="G53" s="5"/>
      <c r="H53" s="5"/>
      <c r="I53" s="6"/>
      <c r="J53" s="7"/>
    </row>
    <row r="54" spans="1:10" ht="16.5" customHeight="1" x14ac:dyDescent="0.3">
      <c r="A54" s="9"/>
      <c r="B54" s="9"/>
      <c r="C54" s="9"/>
      <c r="D54" s="9"/>
      <c r="E54" s="9"/>
      <c r="F54" s="9"/>
      <c r="G54" s="9"/>
      <c r="H54" s="9"/>
      <c r="I54" s="9"/>
      <c r="J54" s="9"/>
    </row>
    <row r="55" spans="1:10" ht="16.5" customHeight="1" x14ac:dyDescent="0.3">
      <c r="A55" s="10"/>
      <c r="B55" s="11">
        <f>SUBTOTAL(3,B3:B54)</f>
        <v>43</v>
      </c>
      <c r="C55" s="10"/>
      <c r="D55" s="10"/>
      <c r="E55" s="10"/>
      <c r="F55" s="10"/>
      <c r="G55" s="10"/>
      <c r="H55" s="10"/>
      <c r="I55" s="10"/>
      <c r="J55" s="12">
        <f>SUBTOTAL(109,J3:J54)</f>
        <v>6216000</v>
      </c>
    </row>
    <row r="56" spans="1:10" ht="16.5" customHeight="1" x14ac:dyDescent="0.3"/>
    <row r="57" spans="1:10" ht="16.5" customHeight="1" x14ac:dyDescent="0.3"/>
    <row r="58" spans="1:10" ht="16.5" customHeight="1" x14ac:dyDescent="0.3"/>
    <row r="59" spans="1:10" ht="16.5" customHeight="1" x14ac:dyDescent="0.3"/>
    <row r="60" spans="1:10" ht="16.5" customHeight="1" x14ac:dyDescent="0.3"/>
    <row r="61" spans="1:10" ht="16.5" customHeight="1" x14ac:dyDescent="0.3"/>
    <row r="62" spans="1:10" ht="16.5" customHeight="1" x14ac:dyDescent="0.3"/>
    <row r="63" spans="1:10" ht="16.5" customHeight="1" x14ac:dyDescent="0.3"/>
    <row r="64" spans="1:10" ht="16.5" customHeight="1" x14ac:dyDescent="0.3"/>
    <row r="65" ht="16.5" customHeight="1" x14ac:dyDescent="0.3"/>
    <row r="66" ht="16.5" customHeight="1" x14ac:dyDescent="0.3"/>
    <row r="67" ht="16.5" customHeight="1" x14ac:dyDescent="0.3"/>
    <row r="68" ht="16.5" customHeight="1" x14ac:dyDescent="0.3"/>
    <row r="69" ht="16.5" customHeight="1" x14ac:dyDescent="0.3"/>
    <row r="70" ht="16.5" customHeight="1" x14ac:dyDescent="0.3"/>
    <row r="71" ht="16.5" customHeight="1" x14ac:dyDescent="0.3"/>
    <row r="72" ht="16.5" customHeight="1" x14ac:dyDescent="0.3"/>
    <row r="73" ht="16.5" customHeight="1" x14ac:dyDescent="0.3"/>
    <row r="74" ht="16.5" customHeight="1" x14ac:dyDescent="0.3"/>
    <row r="75" ht="16.5" customHeight="1" x14ac:dyDescent="0.3"/>
    <row r="76" ht="16.5" customHeight="1" x14ac:dyDescent="0.3"/>
    <row r="77" ht="16.5" customHeight="1" x14ac:dyDescent="0.3"/>
    <row r="78" ht="16.5" customHeight="1" x14ac:dyDescent="0.3"/>
    <row r="79" ht="16.5" customHeight="1" x14ac:dyDescent="0.3"/>
    <row r="80" ht="16.5" customHeight="1" x14ac:dyDescent="0.3"/>
    <row r="81" ht="16.5" customHeight="1" x14ac:dyDescent="0.3"/>
    <row r="82" ht="16.5" customHeight="1" x14ac:dyDescent="0.3"/>
    <row r="83" ht="16.5" customHeight="1" x14ac:dyDescent="0.3"/>
    <row r="84" ht="16.5" customHeight="1" x14ac:dyDescent="0.3"/>
    <row r="85" ht="16.5" customHeight="1" x14ac:dyDescent="0.3"/>
    <row r="86" ht="16.5" customHeight="1" x14ac:dyDescent="0.3"/>
    <row r="87" ht="16.5" customHeight="1" x14ac:dyDescent="0.3"/>
    <row r="88" ht="16.5" customHeight="1" x14ac:dyDescent="0.3"/>
    <row r="89" ht="16.5" customHeight="1" x14ac:dyDescent="0.3"/>
    <row r="90" ht="16.5" customHeight="1" x14ac:dyDescent="0.3"/>
    <row r="91" ht="16.5" customHeight="1" x14ac:dyDescent="0.3"/>
    <row r="92" ht="16.5" customHeight="1" x14ac:dyDescent="0.3"/>
    <row r="93" ht="16.5" customHeight="1" x14ac:dyDescent="0.3"/>
    <row r="94" ht="16.5" customHeight="1" x14ac:dyDescent="0.3"/>
    <row r="95" ht="16.5" customHeight="1" x14ac:dyDescent="0.3"/>
    <row r="96" ht="16.5" customHeight="1" x14ac:dyDescent="0.3"/>
    <row r="97" ht="16.5" customHeight="1" x14ac:dyDescent="0.3"/>
    <row r="98" ht="16.5" customHeight="1" x14ac:dyDescent="0.3"/>
    <row r="99" ht="16.5" customHeight="1" x14ac:dyDescent="0.3"/>
    <row r="100" ht="16.5" customHeight="1" x14ac:dyDescent="0.3"/>
    <row r="101" ht="16.5" customHeight="1" x14ac:dyDescent="0.3"/>
  </sheetData>
  <autoFilter ref="A2:J53" xr:uid="{00000000-0009-0000-0000-000000000000}">
    <sortState xmlns:xlrd2="http://schemas.microsoft.com/office/spreadsheetml/2017/richdata2" ref="A3:J45">
      <sortCondition ref="I2:I53"/>
    </sortState>
  </autoFilter>
  <mergeCells count="3">
    <mergeCell ref="D2:E2"/>
    <mergeCell ref="G2:H2"/>
    <mergeCell ref="A1:J1"/>
  </mergeCells>
  <phoneticPr fontId="13" type="noConversion"/>
  <conditionalFormatting sqref="I3:I19 I21:I5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9 I21:I53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4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64" fitToWidth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Y48"/>
  <sheetViews>
    <sheetView view="pageBreakPreview" zoomScale="130" zoomScaleNormal="100" zoomScaleSheetLayoutView="130" workbookViewId="0">
      <selection activeCell="D17" sqref="D17"/>
    </sheetView>
  </sheetViews>
  <sheetFormatPr defaultRowHeight="16.5" x14ac:dyDescent="0.3"/>
  <cols>
    <col min="1" max="1" width="1.5" customWidth="1"/>
    <col min="2" max="2" width="24.25" bestFit="1" customWidth="1"/>
    <col min="3" max="3" width="7.375" customWidth="1"/>
    <col min="4" max="5" width="13.25" bestFit="1" customWidth="1"/>
    <col min="6" max="6" width="9.125" style="122" customWidth="1"/>
    <col min="7" max="7" width="10.875" style="122" bestFit="1" customWidth="1"/>
    <col min="8" max="8" width="9.625" style="123" customWidth="1"/>
    <col min="11" max="11" width="11.125" bestFit="1" customWidth="1"/>
    <col min="25" max="25" width="12.375" bestFit="1" customWidth="1"/>
  </cols>
  <sheetData>
    <row r="1" spans="2:25" x14ac:dyDescent="0.3">
      <c r="B1" s="379">
        <f ca="1">TODAY()</f>
        <v>44334</v>
      </c>
      <c r="C1" s="380"/>
      <c r="D1" s="380"/>
      <c r="E1" s="380"/>
      <c r="F1" s="380"/>
      <c r="G1" s="380"/>
      <c r="H1" s="380"/>
    </row>
    <row r="2" spans="2:25" x14ac:dyDescent="0.3">
      <c r="B2" s="109" t="s">
        <v>47</v>
      </c>
      <c r="C2" s="82" t="s">
        <v>409</v>
      </c>
      <c r="D2" s="82" t="s">
        <v>365</v>
      </c>
      <c r="E2" s="82" t="s">
        <v>373</v>
      </c>
      <c r="F2" s="82" t="s">
        <v>407</v>
      </c>
      <c r="G2" s="82" t="s">
        <v>437</v>
      </c>
      <c r="H2" s="82" t="s">
        <v>408</v>
      </c>
      <c r="I2" s="88">
        <v>1</v>
      </c>
      <c r="J2" s="82">
        <f t="shared" ref="J2:T2" si="0">I2+1</f>
        <v>2</v>
      </c>
      <c r="K2" s="82">
        <f t="shared" si="0"/>
        <v>3</v>
      </c>
      <c r="L2" s="82">
        <f t="shared" si="0"/>
        <v>4</v>
      </c>
      <c r="M2" s="82">
        <f t="shared" si="0"/>
        <v>5</v>
      </c>
      <c r="N2" s="82">
        <f t="shared" si="0"/>
        <v>6</v>
      </c>
      <c r="O2" s="82">
        <f t="shared" si="0"/>
        <v>7</v>
      </c>
      <c r="P2" s="82">
        <f t="shared" si="0"/>
        <v>8</v>
      </c>
      <c r="Q2" s="82">
        <f t="shared" si="0"/>
        <v>9</v>
      </c>
      <c r="R2" s="82">
        <f t="shared" si="0"/>
        <v>10</v>
      </c>
      <c r="S2" s="82">
        <f t="shared" si="0"/>
        <v>11</v>
      </c>
      <c r="T2" s="82">
        <f t="shared" si="0"/>
        <v>12</v>
      </c>
      <c r="W2" s="82" t="s">
        <v>369</v>
      </c>
      <c r="X2" s="82" t="s">
        <v>370</v>
      </c>
      <c r="Y2" s="82" t="s">
        <v>364</v>
      </c>
    </row>
    <row r="3" spans="2:25" s="100" customFormat="1" ht="17.25" x14ac:dyDescent="0.3">
      <c r="B3" s="61" t="s">
        <v>394</v>
      </c>
      <c r="C3" s="111">
        <f>VLOOKUP(B3,'2019'!$B$3:$Z$301,13,0)</f>
        <v>5</v>
      </c>
      <c r="D3" s="81">
        <f>VLOOKUP($B3,'2019'!$B$3:$DD$461,12,0)</f>
        <v>110000</v>
      </c>
      <c r="E3" s="81" t="str">
        <f>VLOOKUP($B3,'2019'!$B$3:$DD$461,3,0)</f>
        <v>CMS</v>
      </c>
      <c r="F3" s="110" t="s">
        <v>395</v>
      </c>
      <c r="G3" s="142">
        <f t="shared" ref="G3:H23" si="1">SUMIFS($D$3:$D$44,$C$3:$C$44,$C3,$E$3:$E$44,G$2)</f>
        <v>880000</v>
      </c>
      <c r="H3" s="142">
        <f t="shared" si="1"/>
        <v>110000</v>
      </c>
      <c r="I3" s="88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W3" s="82"/>
      <c r="X3" s="82"/>
      <c r="Y3" s="82"/>
    </row>
    <row r="4" spans="2:25" ht="17.25" x14ac:dyDescent="0.3">
      <c r="B4" s="61" t="s">
        <v>20</v>
      </c>
      <c r="C4" s="111">
        <f>VLOOKUP(B4,'2019'!$B$3:$Z$301,13,0)</f>
        <v>5</v>
      </c>
      <c r="D4" s="81">
        <f>VLOOKUP($B4,'2019'!$B$3:$DD$461,12,0)</f>
        <v>110000</v>
      </c>
      <c r="E4" s="81" t="str">
        <f>VLOOKUP($B4,'2019'!$B$3:$DD$461,3,0)</f>
        <v>CMS</v>
      </c>
      <c r="F4" s="110" t="s">
        <v>395</v>
      </c>
      <c r="G4" s="142">
        <f t="shared" si="1"/>
        <v>880000</v>
      </c>
      <c r="H4" s="142">
        <f t="shared" si="1"/>
        <v>110000</v>
      </c>
      <c r="I4" s="89" t="s">
        <v>372</v>
      </c>
      <c r="J4" s="80" t="s">
        <v>372</v>
      </c>
      <c r="K4" s="87"/>
      <c r="L4" s="87"/>
      <c r="M4" s="87"/>
      <c r="N4" s="87"/>
      <c r="O4" s="87"/>
      <c r="P4" s="87"/>
      <c r="Q4" s="87"/>
      <c r="R4" s="87"/>
      <c r="S4" s="87"/>
      <c r="T4" s="87"/>
      <c r="W4" s="80" t="s">
        <v>366</v>
      </c>
      <c r="X4" s="80" t="e">
        <f>COUNTIF(#REF!,W4)</f>
        <v>#REF!</v>
      </c>
      <c r="Y4" s="83" t="e">
        <f>SUMIF(#REF!,W4,$D$4:$D$44)</f>
        <v>#REF!</v>
      </c>
    </row>
    <row r="5" spans="2:25" ht="17.25" x14ac:dyDescent="0.3">
      <c r="B5" s="61" t="s">
        <v>12</v>
      </c>
      <c r="C5" s="111">
        <f>VLOOKUP(B5,'2019'!$B$3:$Z$301,13,0)</f>
        <v>5</v>
      </c>
      <c r="D5" s="81">
        <f>VLOOKUP($B5,'2019'!$B$3:$DD$461,12,0)</f>
        <v>110000</v>
      </c>
      <c r="E5" s="81" t="str">
        <f>VLOOKUP($B5,'2019'!$B$3:$DD$461,3,0)</f>
        <v>CMS</v>
      </c>
      <c r="F5" s="110" t="s">
        <v>395</v>
      </c>
      <c r="G5" s="142">
        <f t="shared" si="1"/>
        <v>880000</v>
      </c>
      <c r="H5" s="142">
        <f t="shared" si="1"/>
        <v>110000</v>
      </c>
      <c r="I5" s="89" t="s">
        <v>372</v>
      </c>
      <c r="J5" s="80" t="s">
        <v>372</v>
      </c>
      <c r="K5" s="87"/>
      <c r="L5" s="87"/>
      <c r="M5" s="87"/>
      <c r="N5" s="87"/>
      <c r="O5" s="87"/>
      <c r="P5" s="87"/>
      <c r="Q5" s="87"/>
      <c r="R5" s="87"/>
      <c r="S5" s="87"/>
      <c r="T5" s="87"/>
      <c r="W5" s="80" t="s">
        <v>367</v>
      </c>
      <c r="X5" s="80" t="e">
        <f>COUNTIF(#REF!,W5)</f>
        <v>#REF!</v>
      </c>
      <c r="Y5" s="83" t="e">
        <f>SUMIF(#REF!,W5,$D$4:$D$44)</f>
        <v>#REF!</v>
      </c>
    </row>
    <row r="6" spans="2:25" ht="17.25" x14ac:dyDescent="0.3">
      <c r="B6" s="61" t="s">
        <v>13</v>
      </c>
      <c r="C6" s="111">
        <f>VLOOKUP(B6,'2019'!$B$3:$Z$301,13,0)</f>
        <v>5</v>
      </c>
      <c r="D6" s="81">
        <f>VLOOKUP($B6,'2019'!$B$3:$DD$461,12,0)</f>
        <v>110000</v>
      </c>
      <c r="E6" s="81" t="str">
        <f>VLOOKUP($B6,'2019'!$B$3:$DD$461,3,0)</f>
        <v>CMS</v>
      </c>
      <c r="F6" s="110" t="s">
        <v>395</v>
      </c>
      <c r="G6" s="142">
        <f t="shared" si="1"/>
        <v>880000</v>
      </c>
      <c r="H6" s="142">
        <f t="shared" si="1"/>
        <v>110000</v>
      </c>
      <c r="I6" s="89" t="s">
        <v>372</v>
      </c>
      <c r="J6" s="80" t="s">
        <v>372</v>
      </c>
      <c r="K6" s="87"/>
      <c r="L6" s="87"/>
      <c r="M6" s="87"/>
      <c r="N6" s="87"/>
      <c r="O6" s="87"/>
      <c r="P6" s="87"/>
      <c r="Q6" s="87"/>
      <c r="R6" s="87"/>
      <c r="S6" s="87"/>
      <c r="T6" s="87"/>
      <c r="W6" s="80" t="s">
        <v>368</v>
      </c>
      <c r="X6" s="80" t="e">
        <f>COUNTIF(#REF!,W6)</f>
        <v>#REF!</v>
      </c>
      <c r="Y6" s="83" t="e">
        <f>SUMIF(#REF!,W6,$D$4:$D$44)</f>
        <v>#REF!</v>
      </c>
    </row>
    <row r="7" spans="2:25" ht="17.25" x14ac:dyDescent="0.3">
      <c r="B7" s="61" t="s">
        <v>11</v>
      </c>
      <c r="C7" s="111">
        <f>VLOOKUP(B7,'2019'!$B$3:$Z$301,13,0)</f>
        <v>5</v>
      </c>
      <c r="D7" s="81">
        <f>VLOOKUP($B7,'2019'!$B$3:$DD$461,12,0)</f>
        <v>110000</v>
      </c>
      <c r="E7" s="91" t="s">
        <v>408</v>
      </c>
      <c r="F7" s="110" t="s">
        <v>395</v>
      </c>
      <c r="G7" s="142">
        <f t="shared" si="1"/>
        <v>880000</v>
      </c>
      <c r="H7" s="142">
        <f t="shared" si="1"/>
        <v>110000</v>
      </c>
      <c r="I7" s="89" t="s">
        <v>372</v>
      </c>
      <c r="J7" s="80" t="s">
        <v>372</v>
      </c>
      <c r="K7" s="87"/>
      <c r="L7" s="87"/>
      <c r="M7" s="87"/>
      <c r="N7" s="87"/>
      <c r="O7" s="87"/>
      <c r="P7" s="87"/>
      <c r="Q7" s="87"/>
      <c r="R7" s="87"/>
      <c r="S7" s="87"/>
      <c r="T7" s="87"/>
      <c r="W7" s="84" t="s">
        <v>371</v>
      </c>
      <c r="X7" s="84" t="e">
        <f>SUM(X4:X6)</f>
        <v>#REF!</v>
      </c>
      <c r="Y7" s="85" t="e">
        <f>SUM(Y4:Y6)</f>
        <v>#REF!</v>
      </c>
    </row>
    <row r="8" spans="2:25" ht="17.25" x14ac:dyDescent="0.3">
      <c r="B8" s="61" t="s">
        <v>405</v>
      </c>
      <c r="C8" s="111">
        <f>VLOOKUP(B8,'2019'!$B$3:$Z$301,13,0)</f>
        <v>5</v>
      </c>
      <c r="D8" s="81">
        <f>VLOOKUP($B8,'2019'!$B$3:$DD$461,12,0)</f>
        <v>440000</v>
      </c>
      <c r="E8" s="81" t="str">
        <f>VLOOKUP($B8,'2019'!$B$3:$DD$461,3,0)</f>
        <v>CMS</v>
      </c>
      <c r="F8" s="110" t="s">
        <v>395</v>
      </c>
      <c r="G8" s="142">
        <f t="shared" si="1"/>
        <v>880000</v>
      </c>
      <c r="H8" s="142">
        <f t="shared" si="1"/>
        <v>110000</v>
      </c>
      <c r="I8" s="120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</row>
    <row r="9" spans="2:25" s="186" customFormat="1" ht="17.25" x14ac:dyDescent="0.3">
      <c r="B9" s="61" t="s">
        <v>485</v>
      </c>
      <c r="C9" s="111">
        <f>VLOOKUP(B9,'2019'!$B$3:$Z$301,13,0)</f>
        <v>10</v>
      </c>
      <c r="D9" s="81">
        <f>VLOOKUP($B9,'2019'!$B$3:$DD$461,12,0)</f>
        <v>110000</v>
      </c>
      <c r="E9" s="81" t="str">
        <f>VLOOKUP($B9,'2019'!$B$3:$DD$461,3,0)</f>
        <v>CMS</v>
      </c>
      <c r="F9" s="110" t="s">
        <v>395</v>
      </c>
      <c r="G9" s="142">
        <f t="shared" si="1"/>
        <v>781000</v>
      </c>
      <c r="H9" s="142">
        <f t="shared" si="1"/>
        <v>275000</v>
      </c>
      <c r="I9" s="120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</row>
    <row r="10" spans="2:25" x14ac:dyDescent="0.3">
      <c r="B10" s="64" t="s">
        <v>24</v>
      </c>
      <c r="C10" s="111">
        <f>VLOOKUP(B10,'2019'!$B$3:$Z$301,13,0)</f>
        <v>10</v>
      </c>
      <c r="D10" s="81">
        <f>VLOOKUP($B10,'2019'!$B$3:$DD$461,12,0)</f>
        <v>110000</v>
      </c>
      <c r="E10" s="81" t="str">
        <f>VLOOKUP($B10,'2019'!$B$3:$DD$461,3,0)</f>
        <v>CMS</v>
      </c>
      <c r="F10" s="110" t="s">
        <v>395</v>
      </c>
      <c r="G10" s="142">
        <f t="shared" si="1"/>
        <v>781000</v>
      </c>
      <c r="H10" s="142">
        <f t="shared" si="1"/>
        <v>275000</v>
      </c>
      <c r="I10" s="89" t="s">
        <v>372</v>
      </c>
      <c r="J10" s="80" t="s">
        <v>372</v>
      </c>
      <c r="K10" s="87"/>
      <c r="L10" s="87"/>
      <c r="M10" s="87"/>
      <c r="N10" s="87"/>
      <c r="O10" s="87"/>
      <c r="P10" s="87"/>
      <c r="Q10" s="87"/>
      <c r="R10" s="87"/>
      <c r="S10" s="87"/>
      <c r="T10" s="87"/>
    </row>
    <row r="11" spans="2:25" ht="17.25" x14ac:dyDescent="0.3">
      <c r="B11" s="61" t="s">
        <v>35</v>
      </c>
      <c r="C11" s="111">
        <f>VLOOKUP(B11,'2019'!$B$3:$Z$301,13,0)</f>
        <v>10</v>
      </c>
      <c r="D11" s="81">
        <f>VLOOKUP($B11,'2019'!$B$3:$DD$461,12,0)</f>
        <v>110000</v>
      </c>
      <c r="E11" s="81" t="str">
        <f>VLOOKUP($B11,'2019'!$B$3:$DD$461,3,0)</f>
        <v>CMS</v>
      </c>
      <c r="F11" s="110" t="s">
        <v>395</v>
      </c>
      <c r="G11" s="142">
        <f t="shared" si="1"/>
        <v>781000</v>
      </c>
      <c r="H11" s="142">
        <f t="shared" si="1"/>
        <v>275000</v>
      </c>
      <c r="I11" s="89" t="s">
        <v>372</v>
      </c>
      <c r="J11" s="80" t="s">
        <v>372</v>
      </c>
      <c r="K11" s="87"/>
      <c r="L11" s="87"/>
      <c r="M11" s="87"/>
      <c r="N11" s="87"/>
      <c r="O11" s="87"/>
      <c r="P11" s="87"/>
      <c r="Q11" s="87"/>
      <c r="R11" s="87"/>
      <c r="S11" s="87"/>
      <c r="T11" s="87"/>
    </row>
    <row r="12" spans="2:25" ht="17.25" x14ac:dyDescent="0.3">
      <c r="B12" s="61" t="s">
        <v>25</v>
      </c>
      <c r="C12" s="111">
        <f>VLOOKUP(B12,'2019'!$B$3:$Z$301,13,0)</f>
        <v>10</v>
      </c>
      <c r="D12" s="81">
        <f>VLOOKUP($B12,'2019'!$B$3:$DD$461,12,0)</f>
        <v>110000</v>
      </c>
      <c r="E12" s="81" t="str">
        <f>VLOOKUP($B12,'2019'!$B$3:$DD$461,3,0)</f>
        <v>CMS</v>
      </c>
      <c r="F12" s="110" t="s">
        <v>395</v>
      </c>
      <c r="G12" s="142">
        <f t="shared" si="1"/>
        <v>781000</v>
      </c>
      <c r="H12" s="142">
        <f t="shared" si="1"/>
        <v>275000</v>
      </c>
      <c r="I12" s="89" t="s">
        <v>372</v>
      </c>
      <c r="J12" s="80" t="s">
        <v>372</v>
      </c>
      <c r="K12" s="87"/>
      <c r="L12" s="87"/>
      <c r="M12" s="87"/>
      <c r="N12" s="87"/>
      <c r="O12" s="87"/>
      <c r="P12" s="87"/>
      <c r="Q12" s="87"/>
      <c r="R12" s="87"/>
      <c r="S12" s="87"/>
      <c r="T12" s="87"/>
    </row>
    <row r="13" spans="2:25" ht="17.25" x14ac:dyDescent="0.3">
      <c r="B13" s="61" t="s">
        <v>23</v>
      </c>
      <c r="C13" s="111">
        <f>VLOOKUP(B13,'2019'!$B$3:$Z$301,13,0)</f>
        <v>10</v>
      </c>
      <c r="D13" s="81">
        <f>VLOOKUP($B13,'2019'!$B$3:$DD$461,12,0)</f>
        <v>121000</v>
      </c>
      <c r="E13" s="81" t="str">
        <f>VLOOKUP($B13,'2019'!$B$3:$DD$461,3,0)</f>
        <v>CMS</v>
      </c>
      <c r="F13" s="110" t="s">
        <v>395</v>
      </c>
      <c r="G13" s="142">
        <f t="shared" si="1"/>
        <v>781000</v>
      </c>
      <c r="H13" s="142">
        <f t="shared" si="1"/>
        <v>275000</v>
      </c>
      <c r="I13" s="89" t="s">
        <v>372</v>
      </c>
      <c r="J13" s="80" t="s">
        <v>372</v>
      </c>
      <c r="K13" s="87"/>
      <c r="L13" s="87"/>
      <c r="M13" s="87"/>
      <c r="N13" s="87"/>
      <c r="O13" s="87"/>
      <c r="P13" s="87"/>
      <c r="Q13" s="87"/>
      <c r="R13" s="87"/>
      <c r="S13" s="87"/>
      <c r="T13" s="87"/>
    </row>
    <row r="14" spans="2:25" ht="17.25" x14ac:dyDescent="0.3">
      <c r="B14" s="61" t="s">
        <v>32</v>
      </c>
      <c r="C14" s="111">
        <f>VLOOKUP(B14,'2019'!$B$3:$Z$301,13,0)</f>
        <v>10</v>
      </c>
      <c r="D14" s="81">
        <f>VLOOKUP($B14,'2019'!$B$3:$DD$461,12,0)</f>
        <v>220000</v>
      </c>
      <c r="E14" s="81" t="str">
        <f>VLOOKUP($B14,'2019'!$B$3:$DD$461,3,0)</f>
        <v>CMS</v>
      </c>
      <c r="F14" s="110" t="s">
        <v>395</v>
      </c>
      <c r="G14" s="142">
        <f t="shared" si="1"/>
        <v>781000</v>
      </c>
      <c r="H14" s="142">
        <f t="shared" si="1"/>
        <v>275000</v>
      </c>
      <c r="I14" s="89" t="s">
        <v>372</v>
      </c>
      <c r="J14" s="80" t="s">
        <v>372</v>
      </c>
      <c r="K14" s="87"/>
      <c r="L14" s="87"/>
      <c r="M14" s="87"/>
      <c r="N14" s="87"/>
      <c r="O14" s="87"/>
      <c r="P14" s="87"/>
      <c r="Q14" s="87"/>
      <c r="R14" s="87"/>
      <c r="S14" s="87"/>
      <c r="T14" s="87"/>
    </row>
    <row r="15" spans="2:25" s="106" customFormat="1" ht="17.25" x14ac:dyDescent="0.3">
      <c r="B15" s="61" t="s">
        <v>14</v>
      </c>
      <c r="C15" s="111">
        <f>VLOOKUP(B15,'2019'!$B$3:$Z$301,13,0)</f>
        <v>10</v>
      </c>
      <c r="D15" s="81">
        <f>VLOOKUP($B15,'2019'!$B$3:$DD$461,12,0)</f>
        <v>275000</v>
      </c>
      <c r="E15" s="91" t="s">
        <v>408</v>
      </c>
      <c r="F15" s="110" t="s">
        <v>395</v>
      </c>
      <c r="G15" s="142">
        <f t="shared" si="1"/>
        <v>781000</v>
      </c>
      <c r="H15" s="142">
        <f t="shared" si="1"/>
        <v>275000</v>
      </c>
      <c r="I15" s="89" t="s">
        <v>372</v>
      </c>
      <c r="J15" s="80" t="s">
        <v>372</v>
      </c>
      <c r="K15" s="87"/>
      <c r="L15" s="87"/>
      <c r="M15" s="87"/>
      <c r="N15" s="87"/>
      <c r="O15" s="87"/>
      <c r="P15" s="87"/>
      <c r="Q15" s="87"/>
      <c r="R15" s="87"/>
      <c r="S15" s="87"/>
      <c r="T15" s="87"/>
    </row>
    <row r="16" spans="2:25" ht="17.25" x14ac:dyDescent="0.3">
      <c r="B16" s="112" t="s">
        <v>39</v>
      </c>
      <c r="C16" s="111">
        <f>VLOOKUP(B16,'2019'!$B$3:$Z$301,13,0)</f>
        <v>15</v>
      </c>
      <c r="D16" s="81">
        <f>VLOOKUP($B16,'2019'!$B$3:$DD$461,12,0)</f>
        <v>77000</v>
      </c>
      <c r="E16" s="81" t="str">
        <f>VLOOKUP($B16,'2019'!$B$3:$DD$461,3,0)</f>
        <v>CMS</v>
      </c>
      <c r="F16" s="113" t="s">
        <v>396</v>
      </c>
      <c r="G16" s="142">
        <f t="shared" si="1"/>
        <v>539000</v>
      </c>
      <c r="H16" s="142">
        <f t="shared" si="1"/>
        <v>0</v>
      </c>
      <c r="I16" s="89" t="s">
        <v>372</v>
      </c>
      <c r="J16" s="80" t="s">
        <v>372</v>
      </c>
      <c r="K16" s="87"/>
      <c r="L16" s="87"/>
      <c r="M16" s="87"/>
      <c r="N16" s="87"/>
      <c r="O16" s="87"/>
      <c r="P16" s="87"/>
      <c r="Q16" s="87"/>
      <c r="R16" s="87"/>
      <c r="S16" s="87"/>
      <c r="T16" s="87"/>
    </row>
    <row r="17" spans="2:20" ht="17.25" x14ac:dyDescent="0.3">
      <c r="B17" s="112" t="s">
        <v>34</v>
      </c>
      <c r="C17" s="111">
        <f>VLOOKUP(B17,'2019'!$B$3:$Z$301,13,0)</f>
        <v>15</v>
      </c>
      <c r="D17" s="81">
        <f>VLOOKUP($B17,'2019'!$B$3:$DD$461,12,0)</f>
        <v>132000</v>
      </c>
      <c r="E17" s="81" t="str">
        <f>VLOOKUP($B17,'2019'!$B$3:$DD$461,3,0)</f>
        <v>CMS</v>
      </c>
      <c r="F17" s="113" t="s">
        <v>396</v>
      </c>
      <c r="G17" s="142">
        <f t="shared" si="1"/>
        <v>539000</v>
      </c>
      <c r="H17" s="142">
        <f t="shared" si="1"/>
        <v>0</v>
      </c>
      <c r="I17" s="89" t="s">
        <v>372</v>
      </c>
      <c r="J17" s="80" t="s">
        <v>372</v>
      </c>
      <c r="K17" s="87"/>
      <c r="L17" s="87"/>
      <c r="M17" s="87"/>
      <c r="N17" s="87"/>
      <c r="O17" s="87"/>
      <c r="P17" s="87"/>
      <c r="Q17" s="87"/>
      <c r="R17" s="87"/>
      <c r="S17" s="87"/>
      <c r="T17" s="87"/>
    </row>
    <row r="18" spans="2:20" ht="17.25" x14ac:dyDescent="0.3">
      <c r="B18" s="112" t="s">
        <v>40</v>
      </c>
      <c r="C18" s="111">
        <f>VLOOKUP(B18,'2019'!$B$3:$Z$301,13,0)</f>
        <v>15</v>
      </c>
      <c r="D18" s="81">
        <f>VLOOKUP($B18,'2019'!$B$3:$DD$461,12,0)</f>
        <v>110000</v>
      </c>
      <c r="E18" s="81" t="str">
        <f>VLOOKUP($B18,'2019'!$B$3:$DD$461,3,0)</f>
        <v>CMS</v>
      </c>
      <c r="F18" s="113" t="s">
        <v>396</v>
      </c>
      <c r="G18" s="142">
        <f t="shared" si="1"/>
        <v>539000</v>
      </c>
      <c r="H18" s="142">
        <f t="shared" si="1"/>
        <v>0</v>
      </c>
      <c r="I18" s="89" t="s">
        <v>372</v>
      </c>
      <c r="J18" s="80" t="s">
        <v>372</v>
      </c>
      <c r="K18" s="87"/>
      <c r="L18" s="87"/>
      <c r="M18" s="87"/>
      <c r="N18" s="87"/>
      <c r="O18" s="87"/>
      <c r="P18" s="87"/>
      <c r="Q18" s="87"/>
      <c r="R18" s="87"/>
      <c r="S18" s="87"/>
      <c r="T18" s="87"/>
    </row>
    <row r="19" spans="2:20" ht="17.25" x14ac:dyDescent="0.3">
      <c r="B19" s="112" t="s">
        <v>27</v>
      </c>
      <c r="C19" s="111">
        <f>VLOOKUP(B19,'2019'!$B$3:$Z$301,13,0)</f>
        <v>15</v>
      </c>
      <c r="D19" s="81">
        <f>VLOOKUP($B19,'2019'!$B$3:$DD$461,12,0)</f>
        <v>110000</v>
      </c>
      <c r="E19" s="81" t="str">
        <f>VLOOKUP($B19,'2019'!$B$3:$DD$461,3,0)</f>
        <v>CMS</v>
      </c>
      <c r="F19" s="113" t="s">
        <v>396</v>
      </c>
      <c r="G19" s="142">
        <f t="shared" si="1"/>
        <v>539000</v>
      </c>
      <c r="H19" s="142">
        <f t="shared" si="1"/>
        <v>0</v>
      </c>
      <c r="I19" s="89" t="s">
        <v>372</v>
      </c>
      <c r="J19" s="80" t="s">
        <v>372</v>
      </c>
      <c r="K19" s="87"/>
      <c r="L19" s="87"/>
      <c r="M19" s="87"/>
      <c r="N19" s="87"/>
      <c r="O19" s="87"/>
      <c r="P19" s="87"/>
      <c r="Q19" s="87"/>
      <c r="R19" s="87"/>
      <c r="S19" s="87"/>
      <c r="T19" s="87"/>
    </row>
    <row r="20" spans="2:20" ht="17.25" x14ac:dyDescent="0.3">
      <c r="B20" s="112" t="s">
        <v>29</v>
      </c>
      <c r="C20" s="111">
        <f>VLOOKUP(B20,'2019'!$B$3:$Z$301,13,0)</f>
        <v>15</v>
      </c>
      <c r="D20" s="81">
        <f>VLOOKUP($B20,'2019'!$B$3:$DD$461,12,0)</f>
        <v>110000</v>
      </c>
      <c r="E20" s="81" t="str">
        <f>VLOOKUP($B20,'2019'!$B$3:$DD$461,3,0)</f>
        <v>CMS</v>
      </c>
      <c r="F20" s="113" t="s">
        <v>396</v>
      </c>
      <c r="G20" s="142">
        <f t="shared" si="1"/>
        <v>539000</v>
      </c>
      <c r="H20" s="142">
        <f t="shared" si="1"/>
        <v>0</v>
      </c>
      <c r="I20" s="89" t="s">
        <v>372</v>
      </c>
      <c r="J20" s="80" t="s">
        <v>372</v>
      </c>
      <c r="K20" s="87"/>
      <c r="L20" s="87"/>
      <c r="M20" s="87"/>
      <c r="N20" s="87"/>
      <c r="O20" s="87"/>
      <c r="P20" s="87"/>
      <c r="Q20" s="87"/>
      <c r="R20" s="87"/>
      <c r="S20" s="87"/>
      <c r="T20" s="87"/>
    </row>
    <row r="21" spans="2:20" ht="17.25" x14ac:dyDescent="0.3">
      <c r="B21" s="112" t="s">
        <v>15</v>
      </c>
      <c r="C21" s="111">
        <f>VLOOKUP(B21,'2019'!$B$3:$Z$301,13,0)</f>
        <v>20</v>
      </c>
      <c r="D21" s="81">
        <f>VLOOKUP($B21,'2019'!$B$3:$DD$461,12,0)</f>
        <v>55000</v>
      </c>
      <c r="E21" s="81" t="str">
        <f>VLOOKUP($B21,'2019'!$B$3:$DD$461,3,0)</f>
        <v>CMS</v>
      </c>
      <c r="F21" s="113" t="s">
        <v>396</v>
      </c>
      <c r="G21" s="142">
        <f t="shared" si="1"/>
        <v>990000</v>
      </c>
      <c r="H21" s="142">
        <f t="shared" si="1"/>
        <v>0</v>
      </c>
      <c r="I21" s="89" t="s">
        <v>372</v>
      </c>
      <c r="J21" s="80" t="s">
        <v>372</v>
      </c>
      <c r="K21" s="87"/>
      <c r="L21" s="87"/>
      <c r="M21" s="87"/>
      <c r="N21" s="87"/>
      <c r="O21" s="87"/>
      <c r="P21" s="87"/>
      <c r="Q21" s="87"/>
      <c r="R21" s="87"/>
      <c r="S21" s="87"/>
      <c r="T21" s="87"/>
    </row>
    <row r="22" spans="2:20" ht="17.25" x14ac:dyDescent="0.3">
      <c r="B22" s="112" t="s">
        <v>41</v>
      </c>
      <c r="C22" s="111">
        <f>VLOOKUP(B22,'2019'!$B$3:$Z$301,13,0)</f>
        <v>20</v>
      </c>
      <c r="D22" s="81">
        <f>VLOOKUP($B22,'2019'!$B$3:$DD$461,12,0)</f>
        <v>77000</v>
      </c>
      <c r="E22" s="81" t="str">
        <f>VLOOKUP($B22,'2019'!$B$3:$DD$461,3,0)</f>
        <v>CMS</v>
      </c>
      <c r="F22" s="113" t="s">
        <v>396</v>
      </c>
      <c r="G22" s="142">
        <f t="shared" si="1"/>
        <v>990000</v>
      </c>
      <c r="H22" s="142">
        <f t="shared" si="1"/>
        <v>0</v>
      </c>
      <c r="I22" s="89" t="s">
        <v>372</v>
      </c>
      <c r="J22" s="80" t="s">
        <v>372</v>
      </c>
      <c r="K22" s="87"/>
      <c r="L22" s="87"/>
      <c r="M22" s="87"/>
      <c r="N22" s="87"/>
      <c r="O22" s="87"/>
      <c r="P22" s="87"/>
      <c r="Q22" s="87"/>
      <c r="R22" s="87"/>
      <c r="S22" s="87"/>
      <c r="T22" s="87"/>
    </row>
    <row r="23" spans="2:20" ht="17.25" x14ac:dyDescent="0.3">
      <c r="B23" s="112" t="s">
        <v>36</v>
      </c>
      <c r="C23" s="111">
        <f>VLOOKUP(B23,'2019'!$B$3:$Z$301,13,0)</f>
        <v>20</v>
      </c>
      <c r="D23" s="81">
        <f>VLOOKUP($B23,'2019'!$B$3:$DD$461,12,0)</f>
        <v>110000</v>
      </c>
      <c r="E23" s="81" t="str">
        <f>VLOOKUP($B23,'2019'!$B$3:$DD$461,3,0)</f>
        <v>CMS</v>
      </c>
      <c r="F23" s="113" t="s">
        <v>396</v>
      </c>
      <c r="G23" s="142">
        <f t="shared" si="1"/>
        <v>990000</v>
      </c>
      <c r="H23" s="142">
        <f t="shared" si="1"/>
        <v>0</v>
      </c>
      <c r="I23" s="89" t="s">
        <v>372</v>
      </c>
      <c r="J23" s="80" t="s">
        <v>372</v>
      </c>
      <c r="K23" s="87"/>
      <c r="L23" s="87"/>
      <c r="M23" s="87"/>
      <c r="N23" s="87"/>
      <c r="O23" s="87"/>
      <c r="P23" s="87"/>
      <c r="Q23" s="87"/>
      <c r="R23" s="87"/>
      <c r="S23" s="87"/>
      <c r="T23" s="87"/>
    </row>
    <row r="24" spans="2:20" ht="17.25" x14ac:dyDescent="0.3">
      <c r="B24" s="112" t="s">
        <v>42</v>
      </c>
      <c r="C24" s="111">
        <f>VLOOKUP(B24,'2019'!$B$3:$Z$301,13,0)</f>
        <v>20</v>
      </c>
      <c r="D24" s="81">
        <f>VLOOKUP($B24,'2019'!$B$3:$DD$461,12,0)</f>
        <v>143000</v>
      </c>
      <c r="E24" s="81" t="str">
        <f>VLOOKUP($B24,'2019'!$B$3:$DD$461,3,0)</f>
        <v>CMS</v>
      </c>
      <c r="F24" s="113" t="s">
        <v>396</v>
      </c>
      <c r="G24" s="142">
        <f t="shared" ref="G24:H45" si="2">SUMIFS($D$3:$D$44,$C$3:$C$44,$C24,$E$3:$E$44,G$2)</f>
        <v>990000</v>
      </c>
      <c r="H24" s="142">
        <f t="shared" si="2"/>
        <v>0</v>
      </c>
      <c r="I24" s="89" t="s">
        <v>372</v>
      </c>
      <c r="J24" s="80" t="s">
        <v>372</v>
      </c>
      <c r="K24" s="87"/>
      <c r="L24" s="87"/>
      <c r="M24" s="87"/>
      <c r="N24" s="87"/>
      <c r="O24" s="87"/>
      <c r="P24" s="87"/>
      <c r="Q24" s="87"/>
      <c r="R24" s="87"/>
      <c r="S24" s="87"/>
      <c r="T24" s="87"/>
    </row>
    <row r="25" spans="2:20" ht="17.25" x14ac:dyDescent="0.3">
      <c r="B25" s="112" t="s">
        <v>31</v>
      </c>
      <c r="C25" s="111">
        <f>VLOOKUP(B25,'2019'!$B$3:$Z$301,13,0)</f>
        <v>20</v>
      </c>
      <c r="D25" s="81">
        <f>VLOOKUP($B25,'2019'!$B$3:$DD$461,12,0)</f>
        <v>165000</v>
      </c>
      <c r="E25" s="81" t="str">
        <f>VLOOKUP($B25,'2019'!$B$3:$DD$461,3,0)</f>
        <v>CMS</v>
      </c>
      <c r="F25" s="113" t="s">
        <v>396</v>
      </c>
      <c r="G25" s="142">
        <f t="shared" si="2"/>
        <v>990000</v>
      </c>
      <c r="H25" s="142">
        <f t="shared" si="2"/>
        <v>0</v>
      </c>
      <c r="I25" s="89" t="s">
        <v>372</v>
      </c>
      <c r="J25" s="80" t="s">
        <v>372</v>
      </c>
      <c r="K25" s="87"/>
      <c r="L25" s="87"/>
      <c r="M25" s="87"/>
      <c r="N25" s="87"/>
      <c r="O25" s="87"/>
      <c r="P25" s="87"/>
      <c r="Q25" s="87"/>
      <c r="R25" s="87"/>
      <c r="S25" s="87"/>
      <c r="T25" s="87"/>
    </row>
    <row r="26" spans="2:20" ht="17.25" x14ac:dyDescent="0.3">
      <c r="B26" s="114" t="s">
        <v>331</v>
      </c>
      <c r="C26" s="111">
        <f>VLOOKUP(B26,'2019'!$B$3:$Z$301,13,0)</f>
        <v>20</v>
      </c>
      <c r="D26" s="81">
        <f>VLOOKUP($B26,'2019'!$B$3:$DD$461,12,0)</f>
        <v>110000</v>
      </c>
      <c r="E26" s="81" t="str">
        <f>VLOOKUP($B26,'2019'!$B$3:$DD$461,3,0)</f>
        <v>CMS</v>
      </c>
      <c r="F26" s="113" t="s">
        <v>396</v>
      </c>
      <c r="G26" s="142">
        <f t="shared" si="2"/>
        <v>990000</v>
      </c>
      <c r="H26" s="142">
        <f t="shared" si="2"/>
        <v>0</v>
      </c>
      <c r="I26" s="89" t="s">
        <v>372</v>
      </c>
      <c r="J26" s="80" t="s">
        <v>372</v>
      </c>
      <c r="K26" s="87"/>
      <c r="L26" s="87"/>
      <c r="M26" s="87"/>
      <c r="N26" s="87"/>
      <c r="O26" s="87"/>
      <c r="P26" s="87"/>
      <c r="Q26" s="87"/>
      <c r="R26" s="87"/>
      <c r="S26" s="87"/>
      <c r="T26" s="87"/>
    </row>
    <row r="27" spans="2:20" ht="17.25" x14ac:dyDescent="0.3">
      <c r="B27" s="112" t="s">
        <v>16</v>
      </c>
      <c r="C27" s="111">
        <f>VLOOKUP(B27,'2019'!$B$3:$Z$301,13,0)</f>
        <v>20</v>
      </c>
      <c r="D27" s="81">
        <f>VLOOKUP($B27,'2019'!$B$3:$DD$461,12,0)</f>
        <v>330000</v>
      </c>
      <c r="E27" s="81" t="str">
        <f>VLOOKUP($B27,'2019'!$B$3:$DD$461,3,0)</f>
        <v>CMS</v>
      </c>
      <c r="F27" s="113" t="s">
        <v>396</v>
      </c>
      <c r="G27" s="142">
        <f t="shared" si="2"/>
        <v>990000</v>
      </c>
      <c r="H27" s="142">
        <f t="shared" si="2"/>
        <v>0</v>
      </c>
      <c r="I27" s="89" t="s">
        <v>372</v>
      </c>
      <c r="J27" s="80" t="s">
        <v>372</v>
      </c>
      <c r="K27" s="87"/>
      <c r="L27" s="87"/>
      <c r="M27" s="87"/>
      <c r="N27" s="87"/>
      <c r="O27" s="87"/>
      <c r="P27" s="87"/>
      <c r="Q27" s="87"/>
      <c r="R27" s="87"/>
      <c r="S27" s="87"/>
      <c r="T27" s="87"/>
    </row>
    <row r="28" spans="2:20" s="106" customFormat="1" ht="17.25" x14ac:dyDescent="0.3">
      <c r="B28" s="61" t="s">
        <v>43</v>
      </c>
      <c r="C28" s="111">
        <f>VLOOKUP(B28,'2019'!$B$3:$Z$301,13,0)</f>
        <v>25</v>
      </c>
      <c r="D28" s="81">
        <f>VLOOKUP($B28,'2019'!$B$3:$DD$461,12,0)</f>
        <v>110000</v>
      </c>
      <c r="E28" s="81" t="str">
        <f>VLOOKUP($B28,'2019'!$B$3:$DD$461,3,0)</f>
        <v>CMS</v>
      </c>
      <c r="F28" s="115" t="s">
        <v>397</v>
      </c>
      <c r="G28" s="142">
        <f t="shared" si="2"/>
        <v>517000</v>
      </c>
      <c r="H28" s="142">
        <f t="shared" si="2"/>
        <v>639000</v>
      </c>
      <c r="I28" s="89" t="s">
        <v>372</v>
      </c>
      <c r="J28" s="80" t="s">
        <v>372</v>
      </c>
      <c r="K28" s="87"/>
      <c r="L28" s="87"/>
      <c r="M28" s="87"/>
      <c r="N28" s="87"/>
      <c r="O28" s="87"/>
      <c r="P28" s="87"/>
      <c r="Q28" s="87"/>
      <c r="R28" s="87"/>
      <c r="S28" s="87"/>
      <c r="T28" s="87"/>
    </row>
    <row r="29" spans="2:20" ht="17.25" x14ac:dyDescent="0.3">
      <c r="B29" s="117" t="s">
        <v>337</v>
      </c>
      <c r="C29" s="111">
        <f>VLOOKUP(B29,'2019'!$B$3:$Z$301,13,0)</f>
        <v>25</v>
      </c>
      <c r="D29" s="81">
        <f>VLOOKUP($B29,'2019'!$B$3:$DD$461,12,0)</f>
        <v>132000</v>
      </c>
      <c r="E29" s="81" t="str">
        <f>VLOOKUP($B29,'2019'!$B$3:$DD$461,3,0)</f>
        <v>CMS</v>
      </c>
      <c r="F29" s="115" t="s">
        <v>397</v>
      </c>
      <c r="G29" s="142">
        <f t="shared" si="2"/>
        <v>517000</v>
      </c>
      <c r="H29" s="142">
        <f t="shared" si="2"/>
        <v>639000</v>
      </c>
      <c r="I29" s="89" t="s">
        <v>372</v>
      </c>
      <c r="J29" s="80" t="s">
        <v>372</v>
      </c>
      <c r="K29" s="87"/>
      <c r="L29" s="87"/>
      <c r="M29" s="87"/>
      <c r="N29" s="87"/>
      <c r="O29" s="87"/>
      <c r="P29" s="87"/>
      <c r="Q29" s="87"/>
      <c r="R29" s="87"/>
      <c r="S29" s="87"/>
      <c r="T29" s="87"/>
    </row>
    <row r="30" spans="2:20" ht="17.25" x14ac:dyDescent="0.3">
      <c r="B30" s="61" t="s">
        <v>17</v>
      </c>
      <c r="C30" s="111">
        <f>VLOOKUP(B30,'2019'!$B$3:$Z$301,13,0)</f>
        <v>25</v>
      </c>
      <c r="D30" s="81">
        <f>VLOOKUP($B30,'2019'!$B$3:$DD$461,12,0)</f>
        <v>275000</v>
      </c>
      <c r="E30" s="81" t="str">
        <f>VLOOKUP($B30,'2019'!$B$3:$DD$461,3,0)</f>
        <v>CMS</v>
      </c>
      <c r="F30" s="115" t="s">
        <v>397</v>
      </c>
      <c r="G30" s="142">
        <f t="shared" si="2"/>
        <v>517000</v>
      </c>
      <c r="H30" s="142">
        <f t="shared" si="2"/>
        <v>639000</v>
      </c>
      <c r="I30" s="89" t="s">
        <v>372</v>
      </c>
      <c r="J30" s="80" t="s">
        <v>372</v>
      </c>
      <c r="K30" s="87"/>
      <c r="L30" s="87"/>
      <c r="M30" s="87"/>
      <c r="N30" s="87"/>
      <c r="O30" s="87"/>
      <c r="P30" s="87"/>
      <c r="Q30" s="87"/>
      <c r="R30" s="87"/>
      <c r="S30" s="87"/>
      <c r="T30" s="87"/>
    </row>
    <row r="31" spans="2:20" ht="17.25" x14ac:dyDescent="0.3">
      <c r="B31" s="61" t="s">
        <v>37</v>
      </c>
      <c r="C31" s="111">
        <f>VLOOKUP(B31,'2019'!$B$3:$Z$301,13,0)</f>
        <v>25</v>
      </c>
      <c r="D31" s="81">
        <f>VLOOKUP($B31,'2019'!$B$3:$DD$461,12,0)</f>
        <v>55000</v>
      </c>
      <c r="E31" s="91" t="s">
        <v>408</v>
      </c>
      <c r="F31" s="115" t="s">
        <v>397</v>
      </c>
      <c r="G31" s="142">
        <f t="shared" si="2"/>
        <v>517000</v>
      </c>
      <c r="H31" s="142">
        <f t="shared" si="2"/>
        <v>639000</v>
      </c>
      <c r="I31" s="89" t="s">
        <v>372</v>
      </c>
      <c r="J31" s="80" t="s">
        <v>372</v>
      </c>
      <c r="K31" s="87"/>
      <c r="L31" s="87"/>
      <c r="M31" s="87"/>
      <c r="N31" s="87"/>
      <c r="O31" s="87"/>
      <c r="P31" s="87"/>
      <c r="Q31" s="87"/>
      <c r="R31" s="87"/>
      <c r="S31" s="87"/>
      <c r="T31" s="87"/>
    </row>
    <row r="32" spans="2:20" ht="17.25" x14ac:dyDescent="0.3">
      <c r="B32" s="61" t="s">
        <v>9</v>
      </c>
      <c r="C32" s="111">
        <f>VLOOKUP(B32,'2019'!$B$3:$Z$301,13,0)</f>
        <v>25</v>
      </c>
      <c r="D32" s="81">
        <f>VLOOKUP($B32,'2019'!$B$3:$DD$461,12,0)</f>
        <v>100000</v>
      </c>
      <c r="E32" s="91" t="s">
        <v>408</v>
      </c>
      <c r="F32" s="115" t="s">
        <v>397</v>
      </c>
      <c r="G32" s="142">
        <f t="shared" si="2"/>
        <v>517000</v>
      </c>
      <c r="H32" s="142">
        <f t="shared" si="2"/>
        <v>639000</v>
      </c>
      <c r="I32" s="89"/>
      <c r="J32" s="80"/>
      <c r="K32" s="87"/>
      <c r="L32" s="87"/>
      <c r="M32" s="87"/>
      <c r="N32" s="87"/>
      <c r="O32" s="87"/>
      <c r="P32" s="87"/>
      <c r="Q32" s="87"/>
      <c r="R32" s="87"/>
      <c r="S32" s="87"/>
      <c r="T32" s="87"/>
    </row>
    <row r="33" spans="2:20" ht="17.25" x14ac:dyDescent="0.3">
      <c r="B33" s="116" t="s">
        <v>38</v>
      </c>
      <c r="C33" s="111">
        <f>VLOOKUP(B33,'2019'!$B$3:$Z$301,13,0)</f>
        <v>25</v>
      </c>
      <c r="D33" s="81">
        <f>VLOOKUP($B33,'2019'!$B$3:$DD$461,12,0)</f>
        <v>110000</v>
      </c>
      <c r="E33" s="91" t="s">
        <v>408</v>
      </c>
      <c r="F33" s="115" t="s">
        <v>397</v>
      </c>
      <c r="G33" s="142">
        <f t="shared" si="2"/>
        <v>517000</v>
      </c>
      <c r="H33" s="142">
        <f t="shared" si="2"/>
        <v>639000</v>
      </c>
      <c r="I33" s="89" t="s">
        <v>372</v>
      </c>
      <c r="J33" s="80" t="s">
        <v>372</v>
      </c>
      <c r="K33" s="87"/>
      <c r="L33" s="87"/>
      <c r="M33" s="87"/>
      <c r="N33" s="87"/>
      <c r="O33" s="87"/>
      <c r="P33" s="87"/>
      <c r="Q33" s="87"/>
      <c r="R33" s="87"/>
      <c r="S33" s="87"/>
      <c r="T33" s="87"/>
    </row>
    <row r="34" spans="2:20" ht="17.25" x14ac:dyDescent="0.3">
      <c r="B34" s="61" t="s">
        <v>10</v>
      </c>
      <c r="C34" s="111">
        <f>VLOOKUP(B34,'2019'!$B$3:$Z$301,13,0)</f>
        <v>25</v>
      </c>
      <c r="D34" s="81">
        <f>VLOOKUP($B34,'2019'!$B$3:$DD$461,12,0)</f>
        <v>132000</v>
      </c>
      <c r="E34" s="91" t="s">
        <v>408</v>
      </c>
      <c r="F34" s="115" t="s">
        <v>397</v>
      </c>
      <c r="G34" s="142">
        <f t="shared" si="2"/>
        <v>517000</v>
      </c>
      <c r="H34" s="142">
        <f t="shared" si="2"/>
        <v>639000</v>
      </c>
      <c r="I34" s="89" t="s">
        <v>372</v>
      </c>
      <c r="J34" s="80" t="s">
        <v>372</v>
      </c>
      <c r="K34" s="87"/>
      <c r="L34" s="87"/>
      <c r="M34" s="87"/>
      <c r="N34" s="87"/>
      <c r="O34" s="87"/>
      <c r="P34" s="87"/>
      <c r="Q34" s="87"/>
      <c r="R34" s="87"/>
      <c r="S34" s="87"/>
      <c r="T34" s="87"/>
    </row>
    <row r="35" spans="2:20" ht="17.25" x14ac:dyDescent="0.3">
      <c r="B35" s="61" t="s">
        <v>8</v>
      </c>
      <c r="C35" s="111">
        <f>VLOOKUP(B35,'2019'!$B$3:$Z$301,13,0)</f>
        <v>25</v>
      </c>
      <c r="D35" s="81">
        <f>VLOOKUP($B35,'2019'!$B$3:$DD$461,12,0)</f>
        <v>242000</v>
      </c>
      <c r="E35" s="91" t="s">
        <v>408</v>
      </c>
      <c r="F35" s="115" t="s">
        <v>397</v>
      </c>
      <c r="G35" s="142">
        <f t="shared" si="2"/>
        <v>517000</v>
      </c>
      <c r="H35" s="142">
        <f t="shared" si="2"/>
        <v>639000</v>
      </c>
      <c r="I35" s="89" t="s">
        <v>372</v>
      </c>
      <c r="J35" s="80" t="s">
        <v>372</v>
      </c>
      <c r="K35" s="87"/>
      <c r="L35" s="87"/>
      <c r="M35" s="87"/>
      <c r="N35" s="87"/>
      <c r="O35" s="87"/>
      <c r="P35" s="87"/>
      <c r="Q35" s="87"/>
      <c r="R35" s="87"/>
      <c r="S35" s="87"/>
      <c r="T35" s="87"/>
    </row>
    <row r="36" spans="2:20" x14ac:dyDescent="0.3">
      <c r="B36" s="64" t="s">
        <v>44</v>
      </c>
      <c r="C36" s="111">
        <f>VLOOKUP(B36,'2019'!$B$3:$Z$301,13,0)</f>
        <v>30</v>
      </c>
      <c r="D36" s="81">
        <f>VLOOKUP($B36,'2019'!$B$3:$DD$461,12,0)</f>
        <v>110000</v>
      </c>
      <c r="E36" s="81" t="str">
        <f>VLOOKUP($B36,'2019'!$B$3:$DD$461,3,0)</f>
        <v>CMS</v>
      </c>
      <c r="F36" s="115" t="s">
        <v>397</v>
      </c>
      <c r="G36" s="142">
        <f t="shared" si="2"/>
        <v>187000</v>
      </c>
      <c r="H36" s="142">
        <f t="shared" si="2"/>
        <v>0</v>
      </c>
      <c r="I36" s="89" t="s">
        <v>372</v>
      </c>
      <c r="J36" s="80" t="s">
        <v>372</v>
      </c>
      <c r="K36" s="87"/>
      <c r="L36" s="87"/>
      <c r="M36" s="87"/>
      <c r="N36" s="87"/>
      <c r="O36" s="87"/>
      <c r="P36" s="87"/>
      <c r="Q36" s="87"/>
      <c r="R36" s="87"/>
      <c r="S36" s="87"/>
      <c r="T36" s="87"/>
    </row>
    <row r="37" spans="2:20" ht="17.25" x14ac:dyDescent="0.3">
      <c r="B37" s="61" t="s">
        <v>442</v>
      </c>
      <c r="C37" s="111">
        <f>VLOOKUP(B37,'2019'!$B$3:$Z$301,13,0)</f>
        <v>30</v>
      </c>
      <c r="D37" s="81">
        <f>VLOOKUP($B37,'2019'!$B$3:$DD$461,12,0)</f>
        <v>77000</v>
      </c>
      <c r="E37" s="81" t="str">
        <f>VLOOKUP($B37,'2019'!$B$3:$DD$461,3,0)</f>
        <v>CMS</v>
      </c>
      <c r="F37" s="115" t="s">
        <v>397</v>
      </c>
      <c r="G37" s="142">
        <f t="shared" si="2"/>
        <v>187000</v>
      </c>
      <c r="H37" s="142">
        <f t="shared" si="2"/>
        <v>0</v>
      </c>
      <c r="I37" s="89"/>
      <c r="J37" s="80"/>
      <c r="K37" s="87"/>
      <c r="L37" s="87"/>
      <c r="M37" s="87"/>
      <c r="N37" s="87"/>
      <c r="O37" s="87"/>
      <c r="P37" s="87"/>
      <c r="Q37" s="87"/>
      <c r="R37" s="87"/>
      <c r="S37" s="87"/>
      <c r="T37" s="87"/>
    </row>
    <row r="38" spans="2:20" ht="17.25" x14ac:dyDescent="0.3">
      <c r="B38" s="61" t="s">
        <v>22</v>
      </c>
      <c r="C38" s="111">
        <f>VLOOKUP(B38,'2019'!$B$3:$Z$301,13,0)</f>
        <v>31</v>
      </c>
      <c r="D38" s="81">
        <f>VLOOKUP($B38,'2019'!$B$3:$DD$461,12,0)</f>
        <v>88000</v>
      </c>
      <c r="E38" s="81" t="str">
        <f>VLOOKUP($B38,'2019'!$B$3:$DD$461,3,0)</f>
        <v>CMS</v>
      </c>
      <c r="F38" s="115" t="s">
        <v>397</v>
      </c>
      <c r="G38" s="142">
        <f t="shared" si="2"/>
        <v>1133000</v>
      </c>
      <c r="H38" s="142">
        <f t="shared" si="2"/>
        <v>0</v>
      </c>
      <c r="I38" s="89" t="s">
        <v>372</v>
      </c>
      <c r="J38" s="80" t="s">
        <v>372</v>
      </c>
      <c r="K38" s="87"/>
      <c r="L38" s="87"/>
      <c r="M38" s="87"/>
      <c r="N38" s="87"/>
      <c r="O38" s="87"/>
      <c r="P38" s="87"/>
      <c r="Q38" s="87"/>
      <c r="R38" s="87"/>
      <c r="S38" s="87"/>
      <c r="T38" s="87"/>
    </row>
    <row r="39" spans="2:20" ht="17.25" x14ac:dyDescent="0.3">
      <c r="B39" s="61" t="s">
        <v>21</v>
      </c>
      <c r="C39" s="111">
        <f>VLOOKUP(B39,'2019'!$B$3:$Z$301,13,0)</f>
        <v>31</v>
      </c>
      <c r="D39" s="81">
        <f>VLOOKUP($B39,'2019'!$B$3:$DD$461,12,0)</f>
        <v>110000</v>
      </c>
      <c r="E39" s="81" t="str">
        <f>VLOOKUP($B39,'2019'!$B$3:$DD$461,3,0)</f>
        <v>CMS</v>
      </c>
      <c r="F39" s="115" t="s">
        <v>397</v>
      </c>
      <c r="G39" s="142">
        <f t="shared" si="2"/>
        <v>1133000</v>
      </c>
      <c r="H39" s="142">
        <f t="shared" si="2"/>
        <v>0</v>
      </c>
      <c r="I39" s="89" t="s">
        <v>372</v>
      </c>
      <c r="J39" s="80" t="s">
        <v>372</v>
      </c>
      <c r="K39" s="87"/>
      <c r="L39" s="87"/>
      <c r="M39" s="87"/>
      <c r="N39" s="87"/>
      <c r="O39" s="87"/>
      <c r="P39" s="87"/>
      <c r="Q39" s="87"/>
      <c r="R39" s="87"/>
      <c r="S39" s="87"/>
      <c r="T39" s="87"/>
    </row>
    <row r="40" spans="2:20" ht="17.25" x14ac:dyDescent="0.3">
      <c r="B40" s="61" t="s">
        <v>30</v>
      </c>
      <c r="C40" s="111">
        <f>VLOOKUP(B40,'2019'!$B$3:$Z$301,13,0)</f>
        <v>31</v>
      </c>
      <c r="D40" s="81">
        <f>VLOOKUP($B40,'2019'!$B$3:$DD$461,12,0)</f>
        <v>110000</v>
      </c>
      <c r="E40" s="81" t="str">
        <f>VLOOKUP($B40,'2019'!$B$3:$DD$461,3,0)</f>
        <v>CMS</v>
      </c>
      <c r="F40" s="115" t="s">
        <v>397</v>
      </c>
      <c r="G40" s="142">
        <f t="shared" si="2"/>
        <v>1133000</v>
      </c>
      <c r="H40" s="142">
        <f t="shared" si="2"/>
        <v>0</v>
      </c>
      <c r="I40" s="89" t="s">
        <v>372</v>
      </c>
      <c r="J40" s="80" t="s">
        <v>372</v>
      </c>
      <c r="K40" s="87"/>
      <c r="L40" s="87"/>
      <c r="M40" s="87"/>
      <c r="N40" s="87"/>
      <c r="O40" s="87"/>
      <c r="P40" s="87"/>
      <c r="Q40" s="87"/>
      <c r="R40" s="87"/>
      <c r="S40" s="87"/>
      <c r="T40" s="87"/>
    </row>
    <row r="41" spans="2:20" ht="17.25" x14ac:dyDescent="0.3">
      <c r="B41" s="61" t="s">
        <v>398</v>
      </c>
      <c r="C41" s="111">
        <f>VLOOKUP(B41,'2019'!$B$3:$Z$301,13,0)</f>
        <v>31</v>
      </c>
      <c r="D41" s="81">
        <f>VLOOKUP($B41,'2019'!$B$3:$DD$461,12,0)</f>
        <v>110000</v>
      </c>
      <c r="E41" s="81" t="str">
        <f>VLOOKUP($B41,'2019'!$B$3:$DD$461,3,0)</f>
        <v>CMS</v>
      </c>
      <c r="F41" s="115" t="s">
        <v>397</v>
      </c>
      <c r="G41" s="142">
        <f t="shared" si="2"/>
        <v>1133000</v>
      </c>
      <c r="H41" s="142">
        <f t="shared" si="2"/>
        <v>0</v>
      </c>
      <c r="I41" s="89"/>
      <c r="J41" s="80"/>
      <c r="K41" s="87"/>
      <c r="L41" s="87"/>
      <c r="M41" s="87"/>
      <c r="N41" s="87"/>
      <c r="O41" s="87"/>
      <c r="P41" s="87"/>
      <c r="Q41" s="87"/>
      <c r="R41" s="87"/>
      <c r="S41" s="87"/>
      <c r="T41" s="87"/>
    </row>
    <row r="42" spans="2:20" ht="17.25" x14ac:dyDescent="0.3">
      <c r="B42" s="61" t="s">
        <v>426</v>
      </c>
      <c r="C42" s="111">
        <f>VLOOKUP(B42,'2019'!$B$3:$Z$301,13,0)</f>
        <v>31</v>
      </c>
      <c r="D42" s="81">
        <f>VLOOKUP($B42,'2019'!$B$3:$DD$461,12,0)</f>
        <v>165000</v>
      </c>
      <c r="E42" s="81" t="str">
        <f>VLOOKUP($B42,'2019'!$B$3:$DD$461,3,0)</f>
        <v>CMS</v>
      </c>
      <c r="F42" s="115" t="s">
        <v>397</v>
      </c>
      <c r="G42" s="142">
        <f t="shared" si="2"/>
        <v>1133000</v>
      </c>
      <c r="H42" s="142">
        <f t="shared" si="2"/>
        <v>0</v>
      </c>
      <c r="I42" s="89" t="s">
        <v>372</v>
      </c>
      <c r="J42" s="80" t="s">
        <v>372</v>
      </c>
      <c r="K42" s="87"/>
      <c r="L42" s="87"/>
      <c r="M42" s="87"/>
      <c r="N42" s="87"/>
      <c r="O42" s="87"/>
      <c r="P42" s="87"/>
      <c r="Q42" s="87"/>
      <c r="R42" s="87"/>
      <c r="S42" s="87"/>
      <c r="T42" s="87"/>
    </row>
    <row r="43" spans="2:20" s="103" customFormat="1" ht="17.25" x14ac:dyDescent="0.3">
      <c r="B43" s="61" t="s">
        <v>404</v>
      </c>
      <c r="C43" s="111">
        <f>VLOOKUP(B43,'2019'!$B$3:$Z$301,13,0)</f>
        <v>31</v>
      </c>
      <c r="D43" s="81">
        <f>VLOOKUP($B43,'2019'!$B$3:$DD$461,12,0)</f>
        <v>220000</v>
      </c>
      <c r="E43" s="81" t="str">
        <f>VLOOKUP($B43,'2019'!$B$3:$DD$461,3,0)</f>
        <v>CMS</v>
      </c>
      <c r="F43" s="115" t="s">
        <v>397</v>
      </c>
      <c r="G43" s="142">
        <f t="shared" si="2"/>
        <v>1133000</v>
      </c>
      <c r="H43" s="142">
        <f t="shared" si="2"/>
        <v>0</v>
      </c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</row>
    <row r="44" spans="2:20" ht="17.25" x14ac:dyDescent="0.3">
      <c r="B44" s="61" t="s">
        <v>33</v>
      </c>
      <c r="C44" s="111">
        <f>VLOOKUP(B44,'2019'!$B$3:$Z$301,13,0)</f>
        <v>31</v>
      </c>
      <c r="D44" s="81">
        <f>VLOOKUP($B44,'2019'!$B$3:$DD$461,12,0)</f>
        <v>330000</v>
      </c>
      <c r="E44" s="81" t="str">
        <f>VLOOKUP($B44,'2019'!$B$3:$DD$461,3,0)</f>
        <v>CMS</v>
      </c>
      <c r="F44" s="115" t="s">
        <v>397</v>
      </c>
      <c r="G44" s="142">
        <f t="shared" si="2"/>
        <v>1133000</v>
      </c>
      <c r="H44" s="142">
        <f t="shared" si="2"/>
        <v>0</v>
      </c>
      <c r="I44" s="89" t="s">
        <v>372</v>
      </c>
      <c r="J44" s="80" t="s">
        <v>372</v>
      </c>
      <c r="K44" s="87"/>
      <c r="L44" s="87"/>
      <c r="M44" s="87"/>
      <c r="N44" s="87"/>
      <c r="O44" s="87"/>
      <c r="P44" s="87"/>
      <c r="Q44" s="87"/>
      <c r="R44" s="87"/>
      <c r="S44" s="87"/>
      <c r="T44" s="87"/>
    </row>
    <row r="45" spans="2:20" s="141" customFormat="1" ht="17.25" x14ac:dyDescent="0.3">
      <c r="B45" s="61" t="s">
        <v>19</v>
      </c>
      <c r="C45" s="111">
        <f>VLOOKUP(B45,'2019'!$B$3:$Z$301,13,0)</f>
        <v>31</v>
      </c>
      <c r="D45" s="81">
        <f>VLOOKUP($B45,'2019'!$B$3:$DD$461,12,0)</f>
        <v>165000</v>
      </c>
      <c r="E45" s="91" t="s">
        <v>408</v>
      </c>
      <c r="F45" s="115" t="s">
        <v>397</v>
      </c>
      <c r="G45" s="142">
        <f t="shared" si="2"/>
        <v>1133000</v>
      </c>
      <c r="H45" s="142">
        <f t="shared" si="2"/>
        <v>0</v>
      </c>
      <c r="I45" s="144" t="s">
        <v>372</v>
      </c>
      <c r="J45" s="144" t="s">
        <v>372</v>
      </c>
      <c r="K45" s="149"/>
      <c r="L45" s="149"/>
      <c r="M45" s="149"/>
      <c r="N45" s="149"/>
      <c r="O45" s="149"/>
      <c r="P45" s="149"/>
      <c r="Q45" s="149"/>
      <c r="R45" s="149"/>
      <c r="S45" s="149"/>
      <c r="T45" s="149"/>
    </row>
    <row r="46" spans="2:20" s="156" customFormat="1" ht="17.25" x14ac:dyDescent="0.3">
      <c r="B46" s="145"/>
      <c r="C46" s="146"/>
      <c r="D46" s="147"/>
      <c r="E46" s="148"/>
      <c r="F46" s="148"/>
      <c r="G46" s="148"/>
      <c r="H46" s="148"/>
      <c r="I46" s="144"/>
      <c r="J46" s="144"/>
      <c r="K46" s="149"/>
      <c r="L46" s="149"/>
      <c r="M46" s="149"/>
      <c r="N46" s="149"/>
      <c r="O46" s="149"/>
      <c r="P46" s="149"/>
      <c r="Q46" s="149"/>
      <c r="R46" s="149"/>
      <c r="S46" s="149"/>
      <c r="T46" s="149"/>
    </row>
    <row r="47" spans="2:20" x14ac:dyDescent="0.3">
      <c r="E47" s="82" t="s">
        <v>436</v>
      </c>
      <c r="F47" s="82" t="s">
        <v>434</v>
      </c>
      <c r="G47" s="82" t="s">
        <v>435</v>
      </c>
    </row>
    <row r="48" spans="2:20" x14ac:dyDescent="0.3">
      <c r="D48" s="143"/>
      <c r="E48" s="150">
        <f>SUMIF($E$3:$E$45,E$47,$D$3:$D$45)</f>
        <v>5027000</v>
      </c>
      <c r="F48" s="150">
        <f>SUMIF($E$3:$E$45,F$47,$D$3:$D$45)</f>
        <v>1189000</v>
      </c>
      <c r="G48" s="151">
        <f>SUM(D3:D45)</f>
        <v>6216000</v>
      </c>
    </row>
  </sheetData>
  <autoFilter ref="B2:T2" xr:uid="{00000000-0009-0000-0000-000001000000}">
    <sortState xmlns:xlrd2="http://schemas.microsoft.com/office/spreadsheetml/2017/richdata2" ref="B3:T45">
      <sortCondition ref="C2"/>
    </sortState>
  </autoFilter>
  <mergeCells count="1">
    <mergeCell ref="B1:H1"/>
  </mergeCells>
  <phoneticPr fontId="13" type="noConversion"/>
  <conditionalFormatting sqref="G5:H8 H46 G10:H4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6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:H8 H46 G10:H4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6:G4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6:G4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6:G4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6:G4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:C8 C10:C46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:C46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:H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:H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:C4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:G4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:H4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25" right="0.25" top="0.75" bottom="0.75" header="0.3" footer="0.3"/>
  <pageSetup paperSize="9" scale="87" fitToWidth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43"/>
  <sheetViews>
    <sheetView view="pageBreakPreview" topLeftCell="F6" zoomScaleNormal="100" zoomScaleSheetLayoutView="100" workbookViewId="0">
      <selection activeCell="AC15" sqref="AC15"/>
    </sheetView>
  </sheetViews>
  <sheetFormatPr defaultRowHeight="16.5" x14ac:dyDescent="0.3"/>
  <cols>
    <col min="1" max="26" width="4.25" customWidth="1"/>
  </cols>
  <sheetData>
    <row r="1" spans="1:27" x14ac:dyDescent="0.3">
      <c r="A1" s="124"/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6"/>
    </row>
    <row r="2" spans="1:27" s="119" customFormat="1" x14ac:dyDescent="0.3">
      <c r="A2" s="127"/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2"/>
      <c r="W2" s="122"/>
      <c r="X2" s="122"/>
      <c r="Y2" s="122"/>
      <c r="Z2" s="128"/>
    </row>
    <row r="3" spans="1:27" x14ac:dyDescent="0.3">
      <c r="A3" s="127"/>
      <c r="B3" s="122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8"/>
    </row>
    <row r="4" spans="1:27" ht="16.5" customHeight="1" x14ac:dyDescent="0.3">
      <c r="A4" s="127"/>
      <c r="B4" s="122"/>
      <c r="C4" s="122"/>
      <c r="D4" s="122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2"/>
      <c r="W4" s="122"/>
      <c r="X4" s="122"/>
      <c r="Y4" s="122"/>
      <c r="Z4" s="128"/>
    </row>
    <row r="5" spans="1:27" ht="16.5" customHeight="1" x14ac:dyDescent="0.3">
      <c r="A5" s="127"/>
      <c r="B5" s="122"/>
      <c r="C5" s="381" t="s">
        <v>423</v>
      </c>
      <c r="D5" s="382"/>
      <c r="E5" s="382"/>
      <c r="F5" s="382"/>
      <c r="G5" s="382"/>
      <c r="H5" s="382"/>
      <c r="I5" s="382"/>
      <c r="J5" s="382"/>
      <c r="K5" s="382"/>
      <c r="L5" s="382"/>
      <c r="M5" s="382"/>
      <c r="N5" s="382"/>
      <c r="O5" s="382"/>
      <c r="P5" s="382"/>
      <c r="Q5" s="382"/>
      <c r="R5" s="382"/>
      <c r="S5" s="382"/>
      <c r="T5" s="382"/>
      <c r="U5" s="382"/>
      <c r="V5" s="382"/>
      <c r="W5" s="382"/>
      <c r="X5" s="383"/>
      <c r="Y5" s="122"/>
      <c r="Z5" s="128"/>
    </row>
    <row r="6" spans="1:27" ht="16.5" customHeight="1" x14ac:dyDescent="0.3">
      <c r="A6" s="127"/>
      <c r="B6" s="122"/>
      <c r="C6" s="384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385"/>
      <c r="R6" s="385"/>
      <c r="S6" s="385"/>
      <c r="T6" s="385"/>
      <c r="U6" s="385"/>
      <c r="V6" s="385"/>
      <c r="W6" s="385"/>
      <c r="X6" s="386"/>
      <c r="Y6" s="122"/>
      <c r="Z6" s="128"/>
    </row>
    <row r="7" spans="1:27" s="119" customFormat="1" ht="39" customHeight="1" x14ac:dyDescent="0.3">
      <c r="A7" s="127"/>
      <c r="B7" s="122"/>
      <c r="C7" s="384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385"/>
      <c r="R7" s="385"/>
      <c r="S7" s="385"/>
      <c r="T7" s="385"/>
      <c r="U7" s="385"/>
      <c r="V7" s="385"/>
      <c r="W7" s="385"/>
      <c r="X7" s="386"/>
      <c r="Y7" s="122"/>
      <c r="Z7" s="128"/>
    </row>
    <row r="8" spans="1:27" s="119" customFormat="1" ht="39" customHeight="1" x14ac:dyDescent="0.3">
      <c r="A8" s="127"/>
      <c r="B8" s="122"/>
      <c r="C8" s="387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8"/>
      <c r="O8" s="388"/>
      <c r="P8" s="388"/>
      <c r="Q8" s="388"/>
      <c r="R8" s="388"/>
      <c r="S8" s="388"/>
      <c r="T8" s="388"/>
      <c r="U8" s="388"/>
      <c r="V8" s="388"/>
      <c r="W8" s="388"/>
      <c r="X8" s="389"/>
      <c r="Y8" s="122"/>
      <c r="Z8" s="128"/>
    </row>
    <row r="9" spans="1:27" s="119" customFormat="1" ht="20.25" customHeight="1" x14ac:dyDescent="0.3">
      <c r="A9" s="127"/>
      <c r="B9" s="122"/>
      <c r="C9" s="122"/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2"/>
      <c r="W9" s="122"/>
      <c r="X9" s="122"/>
      <c r="Y9" s="122"/>
      <c r="Z9" s="128"/>
    </row>
    <row r="10" spans="1:27" s="119" customFormat="1" ht="20.25" customHeight="1" x14ac:dyDescent="0.3">
      <c r="A10" s="127"/>
      <c r="B10" s="393" t="s">
        <v>421</v>
      </c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393"/>
      <c r="R10" s="393"/>
      <c r="S10" s="393"/>
      <c r="T10" s="393"/>
      <c r="U10" s="393"/>
      <c r="V10" s="393"/>
      <c r="W10" s="393"/>
      <c r="X10" s="393"/>
      <c r="Y10" s="393"/>
      <c r="Z10" s="128"/>
    </row>
    <row r="11" spans="1:27" s="119" customFormat="1" ht="20.25" customHeight="1" x14ac:dyDescent="0.3">
      <c r="A11" s="127"/>
      <c r="B11" s="132"/>
      <c r="C11" s="132"/>
      <c r="D11" s="132"/>
      <c r="E11" s="132"/>
      <c r="F11" s="132"/>
      <c r="G11" s="132"/>
      <c r="H11" s="132"/>
      <c r="I11" s="132"/>
      <c r="J11" s="132"/>
      <c r="K11" s="132"/>
      <c r="L11" s="132"/>
      <c r="M11" s="132"/>
      <c r="N11" s="132"/>
      <c r="O11" s="132"/>
      <c r="P11" s="132"/>
      <c r="Q11" s="132"/>
      <c r="R11" s="132"/>
      <c r="S11" s="132"/>
      <c r="T11" s="132"/>
      <c r="U11" s="132"/>
      <c r="V11" s="132"/>
      <c r="W11" s="132"/>
      <c r="X11" s="132"/>
      <c r="Y11" s="132"/>
      <c r="Z11" s="128"/>
    </row>
    <row r="12" spans="1:27" s="229" customFormat="1" ht="20.25" customHeight="1" x14ac:dyDescent="0.3">
      <c r="A12" s="127"/>
      <c r="B12" s="394" t="s">
        <v>513</v>
      </c>
      <c r="C12" s="394"/>
      <c r="D12" s="394"/>
      <c r="E12" s="394"/>
      <c r="F12" s="394"/>
      <c r="G12" s="394"/>
      <c r="H12" s="394"/>
      <c r="I12" s="394"/>
      <c r="J12" s="394"/>
      <c r="K12" s="394"/>
      <c r="L12" s="394"/>
      <c r="M12" s="394"/>
      <c r="N12" s="394"/>
      <c r="O12" s="394"/>
      <c r="P12" s="394"/>
      <c r="Q12" s="394"/>
      <c r="R12" s="394"/>
      <c r="S12" s="394"/>
      <c r="T12" s="394"/>
      <c r="U12" s="394"/>
      <c r="V12" s="394"/>
      <c r="W12" s="394"/>
      <c r="X12" s="394"/>
      <c r="Y12" s="394"/>
      <c r="Z12" s="128"/>
    </row>
    <row r="13" spans="1:27" s="229" customFormat="1" ht="20.25" customHeight="1" x14ac:dyDescent="0.3">
      <c r="A13" s="127"/>
      <c r="B13" s="394"/>
      <c r="C13" s="394"/>
      <c r="D13" s="394"/>
      <c r="E13" s="394"/>
      <c r="F13" s="394"/>
      <c r="G13" s="394"/>
      <c r="H13" s="394"/>
      <c r="I13" s="394"/>
      <c r="J13" s="394"/>
      <c r="K13" s="394"/>
      <c r="L13" s="394"/>
      <c r="M13" s="394"/>
      <c r="N13" s="394"/>
      <c r="O13" s="394"/>
      <c r="P13" s="394"/>
      <c r="Q13" s="394"/>
      <c r="R13" s="394"/>
      <c r="S13" s="394"/>
      <c r="T13" s="394"/>
      <c r="U13" s="394"/>
      <c r="V13" s="394"/>
      <c r="W13" s="394"/>
      <c r="X13" s="394"/>
      <c r="Y13" s="394"/>
      <c r="Z13" s="128"/>
    </row>
    <row r="14" spans="1:27" s="229" customFormat="1" ht="20.25" customHeight="1" x14ac:dyDescent="0.3">
      <c r="A14" s="127"/>
      <c r="B14" s="394"/>
      <c r="C14" s="394"/>
      <c r="D14" s="394"/>
      <c r="E14" s="394"/>
      <c r="F14" s="394"/>
      <c r="G14" s="394"/>
      <c r="H14" s="394"/>
      <c r="I14" s="394"/>
      <c r="J14" s="394"/>
      <c r="K14" s="394"/>
      <c r="L14" s="394"/>
      <c r="M14" s="394"/>
      <c r="N14" s="394"/>
      <c r="O14" s="394"/>
      <c r="P14" s="394"/>
      <c r="Q14" s="394"/>
      <c r="R14" s="394"/>
      <c r="S14" s="394"/>
      <c r="T14" s="394"/>
      <c r="U14" s="394"/>
      <c r="V14" s="394"/>
      <c r="W14" s="394"/>
      <c r="X14" s="394"/>
      <c r="Y14" s="394"/>
      <c r="Z14" s="128"/>
    </row>
    <row r="15" spans="1:27" s="229" customFormat="1" ht="20.25" customHeight="1" x14ac:dyDescent="0.3">
      <c r="A15" s="127"/>
      <c r="B15" s="228"/>
      <c r="C15" s="228"/>
      <c r="D15" s="228"/>
      <c r="E15" s="228"/>
      <c r="F15" s="228"/>
      <c r="G15" s="228"/>
      <c r="H15" s="228"/>
      <c r="I15" s="228"/>
      <c r="J15" s="228"/>
      <c r="K15" s="228"/>
      <c r="L15" s="228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/>
      <c r="X15" s="228"/>
      <c r="Y15" s="228"/>
      <c r="Z15" s="128"/>
    </row>
    <row r="16" spans="1:27" s="119" customFormat="1" ht="20.25" customHeight="1" x14ac:dyDescent="0.3">
      <c r="A16" s="127"/>
      <c r="B16" s="394" t="s">
        <v>507</v>
      </c>
      <c r="C16" s="394"/>
      <c r="D16" s="394"/>
      <c r="E16" s="394"/>
      <c r="F16" s="394"/>
      <c r="G16" s="394"/>
      <c r="H16" s="394"/>
      <c r="I16" s="394"/>
      <c r="J16" s="395">
        <v>25</v>
      </c>
      <c r="K16" s="395"/>
      <c r="L16" s="394" t="s">
        <v>512</v>
      </c>
      <c r="M16" s="394"/>
      <c r="N16" s="394"/>
      <c r="O16" s="394"/>
      <c r="P16" s="394"/>
      <c r="Q16" s="394"/>
      <c r="R16" s="394"/>
      <c r="S16" s="394"/>
      <c r="T16" s="394"/>
      <c r="U16" s="394"/>
      <c r="V16" s="394"/>
      <c r="W16" s="394"/>
      <c r="X16" s="394"/>
      <c r="Y16" s="394"/>
      <c r="Z16" s="128"/>
      <c r="AA16" s="231"/>
    </row>
    <row r="17" spans="1:26" s="119" customFormat="1" ht="20.25" customHeight="1" x14ac:dyDescent="0.3">
      <c r="A17" s="127"/>
      <c r="B17" s="230" t="s">
        <v>509</v>
      </c>
      <c r="C17" s="396">
        <f>J16</f>
        <v>25</v>
      </c>
      <c r="D17" s="396"/>
      <c r="E17" s="230" t="s">
        <v>508</v>
      </c>
      <c r="F17" s="230" t="s">
        <v>510</v>
      </c>
      <c r="G17" s="397">
        <v>10000</v>
      </c>
      <c r="H17" s="397"/>
      <c r="I17" s="397"/>
      <c r="J17" s="230" t="s">
        <v>510</v>
      </c>
      <c r="K17" s="398">
        <v>0.8</v>
      </c>
      <c r="L17" s="396"/>
      <c r="M17" s="230" t="s">
        <v>511</v>
      </c>
      <c r="N17" s="399">
        <f>ROUNDDOWN(C17*G17*K17,-4)</f>
        <v>200000</v>
      </c>
      <c r="O17" s="396"/>
      <c r="P17" s="396"/>
      <c r="Q17" s="396"/>
      <c r="R17" s="230"/>
      <c r="S17" s="228"/>
      <c r="T17" s="228"/>
      <c r="U17" s="228"/>
      <c r="V17" s="228"/>
      <c r="W17" s="228"/>
      <c r="X17" s="228"/>
      <c r="Y17" s="228"/>
      <c r="Z17" s="128"/>
    </row>
    <row r="18" spans="1:26" s="119" customFormat="1" ht="20.25" customHeight="1" x14ac:dyDescent="0.3">
      <c r="A18" s="127"/>
      <c r="B18" s="133"/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  <c r="S18" s="133"/>
      <c r="T18" s="133"/>
      <c r="U18" s="133"/>
      <c r="V18" s="133"/>
      <c r="W18" s="133"/>
      <c r="X18" s="133"/>
      <c r="Y18" s="133"/>
      <c r="Z18" s="128"/>
    </row>
    <row r="19" spans="1:26" ht="30.75" customHeight="1" x14ac:dyDescent="0.3">
      <c r="A19" s="127"/>
      <c r="B19" s="390" t="s">
        <v>418</v>
      </c>
      <c r="C19" s="390"/>
      <c r="D19" s="390"/>
      <c r="E19" s="390"/>
      <c r="F19" s="390"/>
      <c r="G19" s="390"/>
      <c r="H19" s="390"/>
      <c r="I19" s="390"/>
      <c r="J19" s="390"/>
      <c r="K19" s="390"/>
      <c r="L19" s="390"/>
      <c r="M19" s="390"/>
      <c r="N19" s="390"/>
      <c r="O19" s="390"/>
      <c r="P19" s="390"/>
      <c r="Q19" s="390"/>
      <c r="R19" s="390"/>
      <c r="S19" s="390"/>
      <c r="T19" s="390"/>
      <c r="U19" s="390"/>
      <c r="V19" s="390"/>
      <c r="W19" s="390"/>
      <c r="X19" s="390"/>
      <c r="Y19" s="390"/>
      <c r="Z19" s="128"/>
    </row>
    <row r="20" spans="1:26" ht="30.75" customHeight="1" x14ac:dyDescent="0.3">
      <c r="A20" s="127"/>
      <c r="B20" s="390" t="s">
        <v>410</v>
      </c>
      <c r="C20" s="390"/>
      <c r="D20" s="390"/>
      <c r="E20" s="390"/>
      <c r="F20" s="392" t="s">
        <v>42</v>
      </c>
      <c r="G20" s="392"/>
      <c r="H20" s="392"/>
      <c r="I20" s="392"/>
      <c r="J20" s="392"/>
      <c r="K20" s="392"/>
      <c r="L20" s="392"/>
      <c r="M20" s="392"/>
      <c r="N20" s="390" t="s">
        <v>425</v>
      </c>
      <c r="O20" s="390"/>
      <c r="P20" s="390"/>
      <c r="Q20" s="390"/>
      <c r="R20" s="391" t="str">
        <f>VLOOKUP(F20,'자문사 명단'!$B$3:$C$54,2,0)</f>
        <v>210-81-75072</v>
      </c>
      <c r="S20" s="391"/>
      <c r="T20" s="391"/>
      <c r="U20" s="391"/>
      <c r="V20" s="391"/>
      <c r="W20" s="391"/>
      <c r="X20" s="391"/>
      <c r="Y20" s="391"/>
      <c r="Z20" s="128"/>
    </row>
    <row r="21" spans="1:26" s="119" customFormat="1" ht="30.75" customHeight="1" x14ac:dyDescent="0.3">
      <c r="A21" s="127"/>
      <c r="B21" s="390" t="s">
        <v>420</v>
      </c>
      <c r="C21" s="390"/>
      <c r="D21" s="390"/>
      <c r="E21" s="390"/>
      <c r="F21" s="390" t="s">
        <v>415</v>
      </c>
      <c r="G21" s="390"/>
      <c r="H21" s="390" t="s">
        <v>416</v>
      </c>
      <c r="I21" s="390"/>
      <c r="J21" s="390"/>
      <c r="K21" s="390"/>
      <c r="L21" s="390"/>
      <c r="M21" s="390"/>
      <c r="N21" s="390"/>
      <c r="O21" s="390"/>
      <c r="P21" s="390"/>
      <c r="Q21" s="390"/>
      <c r="R21" s="390"/>
      <c r="S21" s="390"/>
      <c r="T21" s="390"/>
      <c r="U21" s="390"/>
      <c r="V21" s="390" t="s">
        <v>431</v>
      </c>
      <c r="W21" s="390"/>
      <c r="X21" s="390"/>
      <c r="Y21" s="390"/>
      <c r="Z21" s="128"/>
    </row>
    <row r="22" spans="1:26" ht="30.75" customHeight="1" x14ac:dyDescent="0.3">
      <c r="A22" s="127"/>
      <c r="B22" s="390"/>
      <c r="C22" s="390"/>
      <c r="D22" s="390"/>
      <c r="E22" s="390"/>
      <c r="F22" s="392" t="s">
        <v>413</v>
      </c>
      <c r="G22" s="414"/>
      <c r="H22" s="424">
        <f>VLOOKUP($F$20,'2019'!$B$3:$N$47,7,0)</f>
        <v>42950</v>
      </c>
      <c r="I22" s="425"/>
      <c r="J22" s="425"/>
      <c r="K22" s="425"/>
      <c r="L22" s="425"/>
      <c r="M22" s="407" t="s">
        <v>411</v>
      </c>
      <c r="N22" s="407"/>
      <c r="O22" s="425">
        <v>43677</v>
      </c>
      <c r="P22" s="425"/>
      <c r="Q22" s="425"/>
      <c r="R22" s="425"/>
      <c r="S22" s="425"/>
      <c r="T22" s="407" t="s">
        <v>412</v>
      </c>
      <c r="U22" s="408"/>
      <c r="V22" s="409">
        <v>100000</v>
      </c>
      <c r="W22" s="409"/>
      <c r="X22" s="409"/>
      <c r="Y22" s="410"/>
      <c r="Z22" s="128"/>
    </row>
    <row r="23" spans="1:26" ht="30.75" customHeight="1" x14ac:dyDescent="0.3">
      <c r="A23" s="127"/>
      <c r="B23" s="390"/>
      <c r="C23" s="390"/>
      <c r="D23" s="390"/>
      <c r="E23" s="390"/>
      <c r="F23" s="392" t="s">
        <v>414</v>
      </c>
      <c r="G23" s="392"/>
      <c r="H23" s="424">
        <f ca="1">IF(O22&lt;TODAY(),O22+1,"")</f>
        <v>43678</v>
      </c>
      <c r="I23" s="425"/>
      <c r="J23" s="425"/>
      <c r="K23" s="425"/>
      <c r="L23" s="425"/>
      <c r="M23" s="407" t="s">
        <v>411</v>
      </c>
      <c r="N23" s="407"/>
      <c r="O23" s="425">
        <v>44408</v>
      </c>
      <c r="P23" s="425"/>
      <c r="Q23" s="425"/>
      <c r="R23" s="425"/>
      <c r="S23" s="425"/>
      <c r="T23" s="407" t="s">
        <v>412</v>
      </c>
      <c r="U23" s="408"/>
      <c r="V23" s="409">
        <f ca="1">IF(H23="","",VLOOKUP($F$20,'2019'!$B$3:$N$47,10,0))</f>
        <v>130000</v>
      </c>
      <c r="W23" s="409"/>
      <c r="X23" s="409"/>
      <c r="Y23" s="410"/>
      <c r="Z23" s="128"/>
    </row>
    <row r="24" spans="1:26" s="119" customFormat="1" ht="30.75" customHeight="1" x14ac:dyDescent="0.3">
      <c r="A24" s="127"/>
      <c r="B24" s="132"/>
      <c r="C24" s="132"/>
      <c r="D24" s="132"/>
      <c r="E24" s="132"/>
      <c r="F24" s="134"/>
      <c r="G24" s="134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  <c r="S24" s="135"/>
      <c r="T24" s="135"/>
      <c r="U24" s="135"/>
      <c r="V24" s="135"/>
      <c r="W24" s="135"/>
      <c r="X24" s="135"/>
      <c r="Y24" s="135"/>
      <c r="Z24" s="128"/>
    </row>
    <row r="25" spans="1:26" ht="30.75" customHeight="1" x14ac:dyDescent="0.3">
      <c r="A25" s="127"/>
      <c r="B25" s="132"/>
      <c r="C25" s="132"/>
      <c r="D25" s="132"/>
      <c r="E25" s="132"/>
      <c r="F25" s="132"/>
      <c r="G25" s="132"/>
      <c r="H25" s="132"/>
      <c r="I25" s="132"/>
      <c r="J25" s="132"/>
      <c r="K25" s="132"/>
      <c r="L25" s="132"/>
      <c r="M25" s="132"/>
      <c r="N25" s="132"/>
      <c r="O25" s="132"/>
      <c r="P25" s="132"/>
      <c r="Q25" s="132"/>
      <c r="R25" s="132"/>
      <c r="S25" s="132"/>
      <c r="T25" s="132"/>
      <c r="U25" s="132"/>
      <c r="V25" s="132"/>
      <c r="W25" s="132"/>
      <c r="X25" s="132"/>
      <c r="Y25" s="132"/>
      <c r="Z25" s="128"/>
    </row>
    <row r="26" spans="1:26" ht="30.75" customHeight="1" x14ac:dyDescent="0.3">
      <c r="A26" s="127"/>
      <c r="B26" s="390" t="s">
        <v>417</v>
      </c>
      <c r="C26" s="390"/>
      <c r="D26" s="390"/>
      <c r="E26" s="390"/>
      <c r="F26" s="390"/>
      <c r="G26" s="390"/>
      <c r="H26" s="390"/>
      <c r="I26" s="390"/>
      <c r="J26" s="390"/>
      <c r="K26" s="390"/>
      <c r="L26" s="390"/>
      <c r="M26" s="390"/>
      <c r="N26" s="390"/>
      <c r="O26" s="390"/>
      <c r="P26" s="390"/>
      <c r="Q26" s="390"/>
      <c r="R26" s="390"/>
      <c r="S26" s="390"/>
      <c r="T26" s="390"/>
      <c r="U26" s="390"/>
      <c r="V26" s="390"/>
      <c r="W26" s="390"/>
      <c r="X26" s="390"/>
      <c r="Y26" s="390"/>
      <c r="Z26" s="128"/>
    </row>
    <row r="27" spans="1:26" ht="30.75" customHeight="1" x14ac:dyDescent="0.3">
      <c r="A27" s="127"/>
      <c r="B27" s="390" t="s">
        <v>416</v>
      </c>
      <c r="C27" s="390"/>
      <c r="D27" s="390"/>
      <c r="E27" s="390"/>
      <c r="F27" s="390"/>
      <c r="G27" s="390"/>
      <c r="H27" s="390"/>
      <c r="I27" s="390"/>
      <c r="J27" s="390"/>
      <c r="K27" s="390"/>
      <c r="L27" s="390"/>
      <c r="M27" s="390"/>
      <c r="N27" s="390"/>
      <c r="O27" s="390"/>
      <c r="P27" s="390" t="s">
        <v>424</v>
      </c>
      <c r="Q27" s="390"/>
      <c r="R27" s="390"/>
      <c r="S27" s="390"/>
      <c r="T27" s="390"/>
      <c r="U27" s="390"/>
      <c r="V27" s="390"/>
      <c r="W27" s="390"/>
      <c r="X27" s="390"/>
      <c r="Y27" s="390"/>
      <c r="Z27" s="128"/>
    </row>
    <row r="28" spans="1:26" ht="30.75" customHeight="1" x14ac:dyDescent="0.3">
      <c r="A28" s="127"/>
      <c r="B28" s="400">
        <f>MAX(O22,O23)+1</f>
        <v>44409</v>
      </c>
      <c r="C28" s="401"/>
      <c r="D28" s="402"/>
      <c r="E28" s="402"/>
      <c r="F28" s="402"/>
      <c r="G28" s="403" t="s">
        <v>411</v>
      </c>
      <c r="H28" s="403"/>
      <c r="I28" s="404">
        <f>DATE(YEAR(B28)+1,MONTH(B28),DAY(B28)-1)</f>
        <v>44773</v>
      </c>
      <c r="J28" s="404"/>
      <c r="K28" s="404"/>
      <c r="L28" s="404"/>
      <c r="M28" s="404"/>
      <c r="N28" s="403" t="s">
        <v>412</v>
      </c>
      <c r="O28" s="405"/>
      <c r="P28" s="406">
        <v>200000</v>
      </c>
      <c r="Q28" s="406"/>
      <c r="R28" s="406"/>
      <c r="S28" s="406"/>
      <c r="T28" s="406"/>
      <c r="U28" s="406"/>
      <c r="V28" s="406"/>
      <c r="W28" s="406"/>
      <c r="X28" s="406"/>
      <c r="Y28" s="406"/>
      <c r="Z28" s="128"/>
    </row>
    <row r="29" spans="1:26" ht="20.25" customHeight="1" x14ac:dyDescent="0.3">
      <c r="A29" s="127"/>
      <c r="B29" s="412" t="s">
        <v>419</v>
      </c>
      <c r="C29" s="413"/>
      <c r="D29" s="415">
        <f>DATE(YEAR(B28),MONTH(B28)+IF(DAY(B28)=1,0,1),DAY(VLOOKUP($F$20,'2019'!$B$3:$U$47,13,0)))</f>
        <v>44428</v>
      </c>
      <c r="E29" s="416"/>
      <c r="F29" s="416"/>
      <c r="G29" s="416"/>
      <c r="H29" s="416"/>
      <c r="I29" s="416"/>
      <c r="J29" s="416"/>
      <c r="K29" s="419" t="str">
        <f>"일자 출금분부터, "&amp;P28*1.1&amp;"원(Vat 포함) 인출"</f>
        <v>일자 출금분부터, 220000원(Vat 포함) 인출</v>
      </c>
      <c r="L29" s="419"/>
      <c r="M29" s="419"/>
      <c r="N29" s="419"/>
      <c r="O29" s="419"/>
      <c r="P29" s="419"/>
      <c r="Q29" s="419"/>
      <c r="R29" s="419"/>
      <c r="S29" s="419"/>
      <c r="T29" s="419"/>
      <c r="U29" s="419"/>
      <c r="V29" s="419"/>
      <c r="W29" s="419"/>
      <c r="X29" s="419"/>
      <c r="Y29" s="420"/>
      <c r="Z29" s="128"/>
    </row>
    <row r="30" spans="1:26" ht="20.25" customHeight="1" x14ac:dyDescent="0.3">
      <c r="A30" s="127"/>
      <c r="B30" s="412"/>
      <c r="C30" s="413"/>
      <c r="D30" s="417"/>
      <c r="E30" s="418"/>
      <c r="F30" s="418"/>
      <c r="G30" s="418"/>
      <c r="H30" s="418"/>
      <c r="I30" s="418"/>
      <c r="J30" s="418"/>
      <c r="K30" s="421"/>
      <c r="L30" s="421"/>
      <c r="M30" s="421"/>
      <c r="N30" s="421"/>
      <c r="O30" s="421"/>
      <c r="P30" s="421"/>
      <c r="Q30" s="421"/>
      <c r="R30" s="421"/>
      <c r="S30" s="421"/>
      <c r="T30" s="421"/>
      <c r="U30" s="421"/>
      <c r="V30" s="421"/>
      <c r="W30" s="421"/>
      <c r="X30" s="421"/>
      <c r="Y30" s="422"/>
      <c r="Z30" s="128"/>
    </row>
    <row r="31" spans="1:26" ht="20.25" customHeight="1" x14ac:dyDescent="0.3">
      <c r="A31" s="127"/>
      <c r="B31" s="136"/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28"/>
    </row>
    <row r="32" spans="1:26" ht="20.25" customHeight="1" x14ac:dyDescent="0.3">
      <c r="A32" s="127"/>
      <c r="B32" s="136"/>
      <c r="C32" s="136"/>
      <c r="D32" s="136"/>
      <c r="E32" s="136"/>
      <c r="F32" s="136"/>
      <c r="G32" s="136"/>
      <c r="H32" s="136"/>
      <c r="I32" s="136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28"/>
    </row>
    <row r="33" spans="1:26" ht="20.25" customHeight="1" x14ac:dyDescent="0.3">
      <c r="A33" s="127"/>
      <c r="B33" s="423" t="s">
        <v>607</v>
      </c>
      <c r="C33" s="423"/>
      <c r="D33" s="423"/>
      <c r="E33" s="423"/>
      <c r="F33" s="423"/>
      <c r="G33" s="423"/>
      <c r="H33" s="423"/>
      <c r="I33" s="423"/>
      <c r="J33" s="423"/>
      <c r="K33" s="423"/>
      <c r="L33" s="423"/>
      <c r="M33" s="423"/>
      <c r="N33" s="423"/>
      <c r="O33" s="423"/>
      <c r="P33" s="423"/>
      <c r="Q33" s="423"/>
      <c r="R33" s="423"/>
      <c r="S33" s="423"/>
      <c r="T33" s="423"/>
      <c r="U33" s="423"/>
      <c r="V33" s="423"/>
      <c r="W33" s="423"/>
      <c r="X33" s="423"/>
      <c r="Y33" s="423"/>
      <c r="Z33" s="128"/>
    </row>
    <row r="34" spans="1:26" ht="20.25" customHeight="1" x14ac:dyDescent="0.3">
      <c r="A34" s="127"/>
      <c r="B34" s="136"/>
      <c r="C34" s="136"/>
      <c r="D34" s="136"/>
      <c r="E34" s="136"/>
      <c r="F34" s="136"/>
      <c r="G34" s="136"/>
      <c r="H34" s="136"/>
      <c r="I34" s="136"/>
      <c r="J34" s="136"/>
      <c r="K34" s="136"/>
      <c r="L34" s="136"/>
      <c r="M34" s="136"/>
      <c r="N34" s="136"/>
      <c r="O34" s="136"/>
      <c r="P34" s="136"/>
      <c r="Q34" s="136"/>
      <c r="R34" s="136"/>
      <c r="S34" s="136"/>
      <c r="T34" s="136"/>
      <c r="U34" s="136"/>
      <c r="V34" s="136"/>
      <c r="W34" s="136"/>
      <c r="X34" s="136"/>
      <c r="Y34" s="136"/>
      <c r="Z34" s="128"/>
    </row>
    <row r="35" spans="1:26" ht="20.25" customHeight="1" x14ac:dyDescent="0.3">
      <c r="A35" s="127"/>
      <c r="B35" s="136"/>
      <c r="C35" s="136"/>
      <c r="D35" s="136"/>
      <c r="E35" s="136"/>
      <c r="F35" s="136"/>
      <c r="G35" s="136"/>
      <c r="H35" s="136"/>
      <c r="I35" s="136"/>
      <c r="J35" s="136"/>
      <c r="K35" s="136"/>
      <c r="L35" s="136"/>
      <c r="M35" s="136"/>
      <c r="N35" s="136"/>
      <c r="O35" s="136"/>
      <c r="P35" s="136"/>
      <c r="Q35" s="136"/>
      <c r="R35" s="136"/>
      <c r="S35" s="136"/>
      <c r="T35" s="136"/>
      <c r="U35" s="136"/>
      <c r="V35" s="136"/>
      <c r="W35" s="136"/>
      <c r="X35" s="136"/>
      <c r="Y35" s="136"/>
      <c r="Z35" s="128"/>
    </row>
    <row r="36" spans="1:26" ht="20.25" customHeight="1" x14ac:dyDescent="0.3">
      <c r="A36" s="127"/>
      <c r="B36" s="136"/>
      <c r="C36" s="136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/>
      <c r="P36" s="136"/>
      <c r="Q36" s="136"/>
      <c r="R36" s="136"/>
      <c r="S36" s="136"/>
      <c r="T36" s="136"/>
      <c r="U36" s="136"/>
      <c r="V36" s="136"/>
      <c r="W36" s="136"/>
      <c r="X36" s="136"/>
      <c r="Y36" s="136"/>
      <c r="Z36" s="128"/>
    </row>
    <row r="37" spans="1:26" ht="20.25" customHeight="1" x14ac:dyDescent="0.3">
      <c r="A37" s="127"/>
      <c r="B37" s="411" t="s">
        <v>422</v>
      </c>
      <c r="C37" s="411"/>
      <c r="D37" s="411"/>
      <c r="E37" s="411"/>
      <c r="F37" s="411"/>
      <c r="G37" s="411"/>
      <c r="H37" s="411"/>
      <c r="I37" s="411"/>
      <c r="J37" s="411"/>
      <c r="K37" s="411"/>
      <c r="L37" s="411"/>
      <c r="M37" s="411"/>
      <c r="N37" s="411"/>
      <c r="O37" s="411"/>
      <c r="P37" s="411"/>
      <c r="Q37" s="411"/>
      <c r="R37" s="411"/>
      <c r="S37" s="411"/>
      <c r="T37" s="411"/>
      <c r="U37" s="411"/>
      <c r="V37" s="411"/>
      <c r="W37" s="411"/>
      <c r="X37" s="411"/>
      <c r="Y37" s="411"/>
      <c r="Z37" s="128"/>
    </row>
    <row r="38" spans="1:26" ht="20.25" customHeight="1" x14ac:dyDescent="0.3">
      <c r="A38" s="127"/>
      <c r="B38" s="411"/>
      <c r="C38" s="411"/>
      <c r="D38" s="411"/>
      <c r="E38" s="411"/>
      <c r="F38" s="411"/>
      <c r="G38" s="411"/>
      <c r="H38" s="411"/>
      <c r="I38" s="411"/>
      <c r="J38" s="411"/>
      <c r="K38" s="411"/>
      <c r="L38" s="411"/>
      <c r="M38" s="411"/>
      <c r="N38" s="411"/>
      <c r="O38" s="411"/>
      <c r="P38" s="411"/>
      <c r="Q38" s="411"/>
      <c r="R38" s="411"/>
      <c r="S38" s="411"/>
      <c r="T38" s="411"/>
      <c r="U38" s="411"/>
      <c r="V38" s="411"/>
      <c r="W38" s="411"/>
      <c r="X38" s="411"/>
      <c r="Y38" s="411"/>
      <c r="Z38" s="128"/>
    </row>
    <row r="39" spans="1:26" ht="20.25" customHeight="1" x14ac:dyDescent="0.3">
      <c r="A39" s="127"/>
      <c r="B39" s="411"/>
      <c r="C39" s="411"/>
      <c r="D39" s="411"/>
      <c r="E39" s="411"/>
      <c r="F39" s="411"/>
      <c r="G39" s="411"/>
      <c r="H39" s="411"/>
      <c r="I39" s="411"/>
      <c r="J39" s="411"/>
      <c r="K39" s="411"/>
      <c r="L39" s="411"/>
      <c r="M39" s="411"/>
      <c r="N39" s="411"/>
      <c r="O39" s="411"/>
      <c r="P39" s="411"/>
      <c r="Q39" s="411"/>
      <c r="R39" s="411"/>
      <c r="S39" s="411"/>
      <c r="T39" s="411"/>
      <c r="U39" s="411"/>
      <c r="V39" s="411"/>
      <c r="W39" s="411"/>
      <c r="X39" s="411"/>
      <c r="Y39" s="411"/>
      <c r="Z39" s="128"/>
    </row>
    <row r="40" spans="1:26" ht="20.25" customHeight="1" x14ac:dyDescent="0.3">
      <c r="A40" s="127"/>
      <c r="B40" s="411"/>
      <c r="C40" s="411"/>
      <c r="D40" s="411"/>
      <c r="E40" s="411"/>
      <c r="F40" s="411"/>
      <c r="G40" s="411"/>
      <c r="H40" s="411"/>
      <c r="I40" s="411"/>
      <c r="J40" s="411"/>
      <c r="K40" s="411"/>
      <c r="L40" s="411"/>
      <c r="M40" s="411"/>
      <c r="N40" s="411"/>
      <c r="O40" s="411"/>
      <c r="P40" s="411"/>
      <c r="Q40" s="411"/>
      <c r="R40" s="411"/>
      <c r="S40" s="411"/>
      <c r="T40" s="411"/>
      <c r="U40" s="411"/>
      <c r="V40" s="411"/>
      <c r="W40" s="411"/>
      <c r="X40" s="411"/>
      <c r="Y40" s="411"/>
      <c r="Z40" s="128"/>
    </row>
    <row r="41" spans="1:26" ht="20.25" customHeight="1" x14ac:dyDescent="0.3">
      <c r="A41" s="127"/>
      <c r="B41" s="122"/>
      <c r="C41" s="122"/>
      <c r="D41" s="122"/>
      <c r="E41" s="122"/>
      <c r="F41" s="122"/>
      <c r="G41" s="122"/>
      <c r="H41" s="122"/>
      <c r="I41" s="122"/>
      <c r="J41" s="122"/>
      <c r="K41" s="122"/>
      <c r="L41" s="122"/>
      <c r="M41" s="122"/>
      <c r="N41" s="122"/>
      <c r="O41" s="122"/>
      <c r="P41" s="122"/>
      <c r="Q41" s="122"/>
      <c r="R41" s="122"/>
      <c r="S41" s="122"/>
      <c r="T41" s="122"/>
      <c r="U41" s="122"/>
      <c r="V41" s="122"/>
      <c r="W41" s="122"/>
      <c r="X41" s="122"/>
      <c r="Y41" s="122"/>
      <c r="Z41" s="128"/>
    </row>
    <row r="42" spans="1:26" ht="20.25" customHeight="1" x14ac:dyDescent="0.3">
      <c r="A42" s="127"/>
      <c r="B42" s="122"/>
      <c r="C42" s="122"/>
      <c r="D42" s="122"/>
      <c r="E42" s="122"/>
      <c r="F42" s="122"/>
      <c r="G42" s="122"/>
      <c r="H42" s="122"/>
      <c r="I42" s="122"/>
      <c r="J42" s="122"/>
      <c r="K42" s="122"/>
      <c r="L42" s="122"/>
      <c r="M42" s="122"/>
      <c r="N42" s="122"/>
      <c r="O42" s="122"/>
      <c r="P42" s="122"/>
      <c r="Q42" s="122"/>
      <c r="R42" s="122"/>
      <c r="S42" s="122"/>
      <c r="T42" s="122"/>
      <c r="U42" s="122"/>
      <c r="V42" s="122"/>
      <c r="W42" s="122"/>
      <c r="X42" s="122"/>
      <c r="Y42" s="122"/>
      <c r="Z42" s="128"/>
    </row>
    <row r="43" spans="1:26" x14ac:dyDescent="0.3">
      <c r="A43" s="129"/>
      <c r="B43" s="130"/>
      <c r="C43" s="130"/>
      <c r="D43" s="130"/>
      <c r="E43" s="130"/>
      <c r="F43" s="130"/>
      <c r="G43" s="130"/>
      <c r="H43" s="130"/>
      <c r="I43" s="130"/>
      <c r="J43" s="130"/>
      <c r="K43" s="130"/>
      <c r="L43" s="130"/>
      <c r="M43" s="130"/>
      <c r="N43" s="130"/>
      <c r="O43" s="130"/>
      <c r="P43" s="130"/>
      <c r="Q43" s="130"/>
      <c r="R43" s="130"/>
      <c r="S43" s="130"/>
      <c r="T43" s="130"/>
      <c r="U43" s="130"/>
      <c r="V43" s="130"/>
      <c r="W43" s="130"/>
      <c r="X43" s="130"/>
      <c r="Y43" s="130"/>
      <c r="Z43" s="131"/>
    </row>
  </sheetData>
  <mergeCells count="44">
    <mergeCell ref="B37:Y40"/>
    <mergeCell ref="B29:C30"/>
    <mergeCell ref="F22:G22"/>
    <mergeCell ref="M22:N22"/>
    <mergeCell ref="D29:J30"/>
    <mergeCell ref="K29:Y30"/>
    <mergeCell ref="B33:Y33"/>
    <mergeCell ref="H22:L22"/>
    <mergeCell ref="O22:S22"/>
    <mergeCell ref="H23:L23"/>
    <mergeCell ref="M23:N23"/>
    <mergeCell ref="O23:S23"/>
    <mergeCell ref="T22:U22"/>
    <mergeCell ref="V22:Y22"/>
    <mergeCell ref="P27:Y27"/>
    <mergeCell ref="B26:Y26"/>
    <mergeCell ref="B27:O27"/>
    <mergeCell ref="B21:E23"/>
    <mergeCell ref="F21:G21"/>
    <mergeCell ref="H21:U21"/>
    <mergeCell ref="V21:Y21"/>
    <mergeCell ref="T23:U23"/>
    <mergeCell ref="V23:Y23"/>
    <mergeCell ref="F23:G23"/>
    <mergeCell ref="B28:F28"/>
    <mergeCell ref="G28:H28"/>
    <mergeCell ref="I28:M28"/>
    <mergeCell ref="N28:O28"/>
    <mergeCell ref="P28:Y28"/>
    <mergeCell ref="C5:X8"/>
    <mergeCell ref="N20:Q20"/>
    <mergeCell ref="R20:Y20"/>
    <mergeCell ref="B20:E20"/>
    <mergeCell ref="F20:M20"/>
    <mergeCell ref="B19:Y19"/>
    <mergeCell ref="B10:Y10"/>
    <mergeCell ref="B12:Y14"/>
    <mergeCell ref="B16:I16"/>
    <mergeCell ref="J16:K16"/>
    <mergeCell ref="L16:Y16"/>
    <mergeCell ref="C17:D17"/>
    <mergeCell ref="G17:I17"/>
    <mergeCell ref="K17:L17"/>
    <mergeCell ref="N17:Q17"/>
  </mergeCells>
  <phoneticPr fontId="13" type="noConversion"/>
  <pageMargins left="0.7" right="0.7" top="0.75" bottom="0.75" header="0.3" footer="0.3"/>
  <pageSetup paperSize="9" scale="73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200-000000000000}">
          <x14:formula1>
            <xm:f>'자문사 명단'!$B$3:$B$54</xm:f>
          </x14:formula1>
          <xm:sqref>F20:M20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4FD57-D581-44F1-AC6A-DF6D1063411F}">
  <sheetPr codeName="Sheet10" filterMode="1">
    <pageSetUpPr fitToPage="1"/>
  </sheetPr>
  <dimension ref="A2:AT96"/>
  <sheetViews>
    <sheetView tabSelected="1" view="pageBreakPreview" zoomScale="70" zoomScaleNormal="70" zoomScaleSheetLayoutView="70" workbookViewId="0"/>
  </sheetViews>
  <sheetFormatPr defaultRowHeight="16.5" x14ac:dyDescent="0.3"/>
  <cols>
    <col min="1" max="1" width="5.625" style="335" bestFit="1" customWidth="1"/>
    <col min="2" max="2" width="21.625" style="335" customWidth="1"/>
    <col min="3" max="3" width="15.125" style="335" customWidth="1"/>
    <col min="4" max="4" width="21.875" style="335" customWidth="1"/>
    <col min="5" max="5" width="9" style="335" customWidth="1"/>
    <col min="6" max="7" width="14.375" style="335" customWidth="1"/>
    <col min="8" max="10" width="11.125" style="335" customWidth="1"/>
    <col min="11" max="11" width="12.25" style="335" customWidth="1"/>
    <col min="12" max="13" width="11" style="335" customWidth="1"/>
    <col min="14" max="14" width="15.125" style="335" customWidth="1"/>
    <col min="15" max="38" width="6.375" style="335" customWidth="1"/>
    <col min="39" max="39" width="12.25" style="335" customWidth="1"/>
    <col min="40" max="81" width="9" style="335" customWidth="1"/>
    <col min="82" max="16384" width="9" style="335"/>
  </cols>
  <sheetData>
    <row r="2" spans="1:46" x14ac:dyDescent="0.3">
      <c r="AM2" s="430" t="s">
        <v>575</v>
      </c>
      <c r="AN2" s="431"/>
      <c r="AO2" s="331">
        <v>2021</v>
      </c>
    </row>
    <row r="3" spans="1:46" x14ac:dyDescent="0.3">
      <c r="AM3" s="430" t="s">
        <v>576</v>
      </c>
      <c r="AN3" s="431"/>
      <c r="AO3" s="331">
        <v>5</v>
      </c>
    </row>
    <row r="5" spans="1:46" x14ac:dyDescent="0.3">
      <c r="A5" s="432" t="s">
        <v>556</v>
      </c>
      <c r="B5" s="433"/>
      <c r="C5" s="433"/>
      <c r="D5" s="433"/>
      <c r="E5" s="433"/>
      <c r="F5" s="433"/>
      <c r="G5" s="433"/>
      <c r="H5" s="433"/>
      <c r="I5" s="433"/>
      <c r="J5" s="433"/>
      <c r="K5" s="433"/>
      <c r="L5" s="433"/>
      <c r="M5" s="433"/>
      <c r="N5" s="434"/>
      <c r="O5" s="435" t="s">
        <v>557</v>
      </c>
      <c r="P5" s="435"/>
      <c r="Q5" s="435"/>
      <c r="R5" s="435"/>
      <c r="S5" s="435"/>
      <c r="T5" s="435"/>
      <c r="U5" s="435"/>
      <c r="V5" s="435"/>
      <c r="W5" s="435"/>
      <c r="X5" s="435"/>
      <c r="Y5" s="435"/>
      <c r="Z5" s="435"/>
      <c r="AA5" s="435"/>
      <c r="AB5" s="435"/>
      <c r="AC5" s="435"/>
      <c r="AD5" s="435"/>
      <c r="AE5" s="435"/>
      <c r="AF5" s="435"/>
      <c r="AG5" s="435"/>
      <c r="AH5" s="435"/>
      <c r="AI5" s="435"/>
      <c r="AJ5" s="435"/>
      <c r="AK5" s="435"/>
      <c r="AL5" s="435"/>
      <c r="AM5" s="436" t="s">
        <v>558</v>
      </c>
      <c r="AN5" s="436"/>
      <c r="AO5" s="437"/>
      <c r="AP5" s="437"/>
      <c r="AQ5" s="437"/>
      <c r="AR5" s="437"/>
      <c r="AS5" s="437"/>
      <c r="AT5" s="437"/>
    </row>
    <row r="6" spans="1:46" ht="16.5" customHeight="1" x14ac:dyDescent="0.3">
      <c r="A6" s="256"/>
      <c r="B6" s="432" t="s">
        <v>563</v>
      </c>
      <c r="C6" s="433"/>
      <c r="D6" s="434"/>
      <c r="E6" s="438" t="s">
        <v>562</v>
      </c>
      <c r="F6" s="438"/>
      <c r="G6" s="438"/>
      <c r="H6" s="438" t="s">
        <v>554</v>
      </c>
      <c r="I6" s="438"/>
      <c r="J6" s="438"/>
      <c r="K6" s="439" t="s">
        <v>571</v>
      </c>
      <c r="L6" s="440"/>
      <c r="M6" s="256"/>
      <c r="N6" s="256"/>
      <c r="O6" s="427">
        <v>1</v>
      </c>
      <c r="P6" s="427"/>
      <c r="Q6" s="427">
        <f>O6+1</f>
        <v>2</v>
      </c>
      <c r="R6" s="427"/>
      <c r="S6" s="427">
        <f>Q6+1</f>
        <v>3</v>
      </c>
      <c r="T6" s="427"/>
      <c r="U6" s="427">
        <f>S6+1</f>
        <v>4</v>
      </c>
      <c r="V6" s="427"/>
      <c r="W6" s="427">
        <f t="shared" ref="W6" si="0">U6+1</f>
        <v>5</v>
      </c>
      <c r="X6" s="427"/>
      <c r="Y6" s="427">
        <f t="shared" ref="Y6" si="1">W6+1</f>
        <v>6</v>
      </c>
      <c r="Z6" s="427"/>
      <c r="AA6" s="427">
        <f t="shared" ref="AA6" si="2">Y6+1</f>
        <v>7</v>
      </c>
      <c r="AB6" s="427"/>
      <c r="AC6" s="427">
        <f t="shared" ref="AC6" si="3">AA6+1</f>
        <v>8</v>
      </c>
      <c r="AD6" s="427"/>
      <c r="AE6" s="427">
        <f t="shared" ref="AE6" si="4">AC6+1</f>
        <v>9</v>
      </c>
      <c r="AF6" s="427"/>
      <c r="AG6" s="427">
        <f t="shared" ref="AG6" si="5">AE6+1</f>
        <v>10</v>
      </c>
      <c r="AH6" s="427"/>
      <c r="AI6" s="427">
        <f t="shared" ref="AI6" si="6">AG6+1</f>
        <v>11</v>
      </c>
      <c r="AJ6" s="427"/>
      <c r="AK6" s="427">
        <f t="shared" ref="AK6" si="7">AI6+1</f>
        <v>12</v>
      </c>
      <c r="AL6" s="427"/>
      <c r="AM6" s="428" t="s">
        <v>473</v>
      </c>
      <c r="AN6" s="429"/>
      <c r="AO6" s="426" t="s">
        <v>566</v>
      </c>
      <c r="AP6" s="426"/>
      <c r="AQ6" s="330" t="s">
        <v>569</v>
      </c>
      <c r="AR6" s="260"/>
      <c r="AS6" s="260"/>
      <c r="AT6" s="260"/>
    </row>
    <row r="7" spans="1:46" x14ac:dyDescent="0.3">
      <c r="A7" s="366" t="s">
        <v>415</v>
      </c>
      <c r="B7" s="256" t="s">
        <v>410</v>
      </c>
      <c r="C7" s="256" t="s">
        <v>454</v>
      </c>
      <c r="D7" s="256" t="s">
        <v>472</v>
      </c>
      <c r="E7" s="256" t="s">
        <v>564</v>
      </c>
      <c r="F7" s="256" t="s">
        <v>552</v>
      </c>
      <c r="G7" s="256" t="s">
        <v>553</v>
      </c>
      <c r="H7" s="256" t="s">
        <v>561</v>
      </c>
      <c r="I7" s="256" t="s">
        <v>458</v>
      </c>
      <c r="J7" s="256" t="s">
        <v>371</v>
      </c>
      <c r="K7" s="282" t="s">
        <v>572</v>
      </c>
      <c r="L7" s="283" t="s">
        <v>573</v>
      </c>
      <c r="M7" s="282" t="s">
        <v>555</v>
      </c>
      <c r="N7" s="282" t="s">
        <v>593</v>
      </c>
      <c r="O7" s="333" t="s">
        <v>459</v>
      </c>
      <c r="P7" s="333" t="s">
        <v>460</v>
      </c>
      <c r="Q7" s="333" t="s">
        <v>459</v>
      </c>
      <c r="R7" s="333" t="s">
        <v>460</v>
      </c>
      <c r="S7" s="333" t="s">
        <v>459</v>
      </c>
      <c r="T7" s="333" t="s">
        <v>460</v>
      </c>
      <c r="U7" s="333" t="s">
        <v>459</v>
      </c>
      <c r="V7" s="333" t="s">
        <v>460</v>
      </c>
      <c r="W7" s="333" t="s">
        <v>459</v>
      </c>
      <c r="X7" s="333" t="s">
        <v>460</v>
      </c>
      <c r="Y7" s="333" t="s">
        <v>459</v>
      </c>
      <c r="Z7" s="333" t="s">
        <v>460</v>
      </c>
      <c r="AA7" s="333" t="s">
        <v>459</v>
      </c>
      <c r="AB7" s="333" t="s">
        <v>460</v>
      </c>
      <c r="AC7" s="333" t="s">
        <v>459</v>
      </c>
      <c r="AD7" s="333" t="s">
        <v>460</v>
      </c>
      <c r="AE7" s="333" t="s">
        <v>459</v>
      </c>
      <c r="AF7" s="333" t="s">
        <v>460</v>
      </c>
      <c r="AG7" s="333" t="s">
        <v>459</v>
      </c>
      <c r="AH7" s="333" t="s">
        <v>460</v>
      </c>
      <c r="AI7" s="333" t="s">
        <v>459</v>
      </c>
      <c r="AJ7" s="333" t="s">
        <v>460</v>
      </c>
      <c r="AK7" s="333" t="s">
        <v>459</v>
      </c>
      <c r="AL7" s="333" t="s">
        <v>460</v>
      </c>
      <c r="AM7" s="266" t="s">
        <v>559</v>
      </c>
      <c r="AN7" s="334" t="s">
        <v>560</v>
      </c>
      <c r="AO7" s="332" t="s">
        <v>565</v>
      </c>
      <c r="AP7" s="332" t="s">
        <v>567</v>
      </c>
      <c r="AQ7" s="332" t="s">
        <v>568</v>
      </c>
      <c r="AR7" s="261" t="s">
        <v>594</v>
      </c>
      <c r="AS7" s="261" t="s">
        <v>595</v>
      </c>
      <c r="AT7" s="261" t="s">
        <v>596</v>
      </c>
    </row>
    <row r="8" spans="1:46" ht="18" customHeight="1" x14ac:dyDescent="0.3">
      <c r="A8" s="346">
        <v>1</v>
      </c>
      <c r="B8" s="319" t="s">
        <v>12</v>
      </c>
      <c r="C8" s="284">
        <v>1104334968</v>
      </c>
      <c r="D8" s="302">
        <v>11043349680</v>
      </c>
      <c r="E8" s="346"/>
      <c r="F8" s="66">
        <v>43244</v>
      </c>
      <c r="G8" s="66">
        <v>43608</v>
      </c>
      <c r="H8" s="347">
        <v>100000</v>
      </c>
      <c r="I8" s="347">
        <f>H8*0.1</f>
        <v>10000</v>
      </c>
      <c r="J8" s="347">
        <f>SUM(H8:I8)</f>
        <v>110000</v>
      </c>
      <c r="K8" s="66" t="s">
        <v>70</v>
      </c>
      <c r="L8" s="286">
        <v>5</v>
      </c>
      <c r="M8" s="287">
        <v>5</v>
      </c>
      <c r="N8" s="347"/>
      <c r="O8" s="270">
        <v>44196</v>
      </c>
      <c r="P8" s="271">
        <v>44203</v>
      </c>
      <c r="Q8" s="270">
        <v>44225</v>
      </c>
      <c r="R8" s="271">
        <v>44235</v>
      </c>
      <c r="S8" s="270">
        <v>44255</v>
      </c>
      <c r="T8" s="271">
        <v>44263</v>
      </c>
      <c r="U8" s="270">
        <v>44286</v>
      </c>
      <c r="V8" s="271">
        <v>44293</v>
      </c>
      <c r="W8" s="270">
        <v>44316</v>
      </c>
      <c r="X8" s="271">
        <v>44326</v>
      </c>
      <c r="Y8" s="270"/>
      <c r="Z8" s="271"/>
      <c r="AA8" s="270"/>
      <c r="AB8" s="271"/>
      <c r="AC8" s="270"/>
      <c r="AD8" s="271"/>
      <c r="AE8" s="270"/>
      <c r="AF8" s="271"/>
      <c r="AG8" s="270"/>
      <c r="AH8" s="271"/>
      <c r="AI8" s="270"/>
      <c r="AJ8" s="271"/>
      <c r="AK8" s="270"/>
      <c r="AL8" s="271"/>
      <c r="AM8" s="66">
        <f>IFERROR(
IF(M8="해지","제외",
IF(M8=25,DATE(AO$2,AO$3,DAY(M8)),
IF(M8=31,EOMONTH(DATE(AO$2,AO$3,29),0),
DATE(AO$2,AO$3+1,DAY(M8))))),"예외")</f>
        <v>44352</v>
      </c>
      <c r="AN8" s="346" t="str">
        <f>IFERROR(CHOOSE(WEEKDAY(AM8,2),"월","화","수","목","금","토","일"),"")</f>
        <v>토</v>
      </c>
      <c r="AO8" s="346"/>
      <c r="AP8" s="346"/>
      <c r="AQ8" s="346"/>
      <c r="AR8" s="346"/>
      <c r="AS8" s="346"/>
      <c r="AT8" s="346"/>
    </row>
    <row r="9" spans="1:46" ht="18" customHeight="1" x14ac:dyDescent="0.3">
      <c r="A9" s="346">
        <v>2</v>
      </c>
      <c r="B9" s="319" t="s">
        <v>13</v>
      </c>
      <c r="C9" s="284">
        <v>7318100137</v>
      </c>
      <c r="D9" s="302">
        <v>73181001370</v>
      </c>
      <c r="E9" s="346"/>
      <c r="F9" s="66">
        <v>43282</v>
      </c>
      <c r="G9" s="66">
        <v>43646</v>
      </c>
      <c r="H9" s="347">
        <v>100000</v>
      </c>
      <c r="I9" s="347">
        <f>H9*0.1</f>
        <v>10000</v>
      </c>
      <c r="J9" s="347">
        <f>SUM(H9:I9)</f>
        <v>110000</v>
      </c>
      <c r="K9" s="66" t="s">
        <v>70</v>
      </c>
      <c r="L9" s="286">
        <v>5</v>
      </c>
      <c r="M9" s="287">
        <v>5</v>
      </c>
      <c r="N9" s="347"/>
      <c r="O9" s="270">
        <v>44196</v>
      </c>
      <c r="P9" s="271">
        <v>44203</v>
      </c>
      <c r="Q9" s="270">
        <v>44225</v>
      </c>
      <c r="R9" s="271">
        <v>44235</v>
      </c>
      <c r="S9" s="270">
        <v>44255</v>
      </c>
      <c r="T9" s="271">
        <v>44263</v>
      </c>
      <c r="U9" s="270">
        <v>44286</v>
      </c>
      <c r="V9" s="271">
        <v>44293</v>
      </c>
      <c r="W9" s="270">
        <v>44316</v>
      </c>
      <c r="X9" s="271">
        <v>44326</v>
      </c>
      <c r="Y9" s="270"/>
      <c r="Z9" s="271"/>
      <c r="AA9" s="270"/>
      <c r="AB9" s="271"/>
      <c r="AC9" s="270"/>
      <c r="AD9" s="271"/>
      <c r="AE9" s="270"/>
      <c r="AF9" s="271"/>
      <c r="AG9" s="270"/>
      <c r="AH9" s="271"/>
      <c r="AI9" s="270"/>
      <c r="AJ9" s="271"/>
      <c r="AK9" s="270"/>
      <c r="AL9" s="271"/>
      <c r="AM9" s="66">
        <f>IFERROR(
IF(M9="해지","제외",
IF(M9=25,DATE(AO$2,AO$3,DAY(M9)),
IF(M9=31,EOMONTH(DATE(AO$2,AO$3,29),0),
DATE(AO$2,AO$3+1,DAY(M9))))),"예외")</f>
        <v>44352</v>
      </c>
      <c r="AN9" s="346" t="str">
        <f>IFERROR(CHOOSE(WEEKDAY(AM9,2),"월","화","수","목","금","토","일"),"")</f>
        <v>토</v>
      </c>
      <c r="AO9" s="346"/>
      <c r="AP9" s="346"/>
      <c r="AQ9" s="346"/>
      <c r="AR9" s="346"/>
      <c r="AS9" s="346"/>
      <c r="AT9" s="346"/>
    </row>
    <row r="10" spans="1:46" ht="18" customHeight="1" x14ac:dyDescent="0.3">
      <c r="A10" s="346">
        <v>3</v>
      </c>
      <c r="B10" s="319" t="s">
        <v>20</v>
      </c>
      <c r="C10" s="284">
        <v>2108138456</v>
      </c>
      <c r="D10" s="302">
        <v>21081384560</v>
      </c>
      <c r="E10" s="346"/>
      <c r="F10" s="66">
        <v>43108</v>
      </c>
      <c r="G10" s="66">
        <v>43465</v>
      </c>
      <c r="H10" s="347">
        <v>100000</v>
      </c>
      <c r="I10" s="347">
        <f>H10*0.1</f>
        <v>10000</v>
      </c>
      <c r="J10" s="347">
        <f>SUM(H10:I10)</f>
        <v>110000</v>
      </c>
      <c r="K10" s="66" t="s">
        <v>70</v>
      </c>
      <c r="L10" s="286">
        <v>5</v>
      </c>
      <c r="M10" s="287">
        <v>7</v>
      </c>
      <c r="N10" s="375"/>
      <c r="O10" s="270">
        <v>44196</v>
      </c>
      <c r="P10" s="271">
        <v>44203</v>
      </c>
      <c r="Q10" s="270">
        <v>44225</v>
      </c>
      <c r="R10" s="271">
        <v>44235</v>
      </c>
      <c r="S10" s="270">
        <v>44255</v>
      </c>
      <c r="T10" s="271">
        <v>44263</v>
      </c>
      <c r="U10" s="270">
        <v>44286</v>
      </c>
      <c r="V10" s="271">
        <v>44293</v>
      </c>
      <c r="W10" s="270">
        <v>44316</v>
      </c>
      <c r="X10" s="271">
        <v>44326</v>
      </c>
      <c r="Y10" s="270"/>
      <c r="Z10" s="271"/>
      <c r="AA10" s="270"/>
      <c r="AB10" s="271"/>
      <c r="AC10" s="270"/>
      <c r="AD10" s="271"/>
      <c r="AE10" s="270"/>
      <c r="AF10" s="271"/>
      <c r="AG10" s="270"/>
      <c r="AH10" s="271"/>
      <c r="AI10" s="270"/>
      <c r="AJ10" s="271"/>
      <c r="AK10" s="270"/>
      <c r="AL10" s="271"/>
      <c r="AM10" s="66">
        <f>IFERROR(
IF(M10="해지","제외",
IF(M10=25,DATE(AO$2,AO$3,DAY(M10)),
IF(M10=31,EOMONTH(DATE(AO$2,AO$3,29),0),
DATE(AO$2,AO$3+1,DAY(M10))))),"예외")</f>
        <v>44354</v>
      </c>
      <c r="AN10" s="346" t="str">
        <f>IFERROR(CHOOSE(WEEKDAY(AM10,2),"월","화","수","목","금","토","일"),"")</f>
        <v>월</v>
      </c>
      <c r="AO10" s="346"/>
      <c r="AP10" s="346"/>
      <c r="AQ10" s="346"/>
      <c r="AR10" s="346"/>
      <c r="AS10" s="373"/>
      <c r="AT10" s="346"/>
    </row>
    <row r="11" spans="1:46" ht="18" customHeight="1" x14ac:dyDescent="0.3">
      <c r="A11" s="346">
        <v>4</v>
      </c>
      <c r="B11" s="319" t="s">
        <v>475</v>
      </c>
      <c r="C11" s="284">
        <v>1244716365</v>
      </c>
      <c r="D11" s="302">
        <v>12447163650</v>
      </c>
      <c r="E11" s="346"/>
      <c r="F11" s="66">
        <v>43556</v>
      </c>
      <c r="G11" s="66">
        <v>43921</v>
      </c>
      <c r="H11" s="347">
        <v>100000</v>
      </c>
      <c r="I11" s="347">
        <f>H11*0.1</f>
        <v>10000</v>
      </c>
      <c r="J11" s="347">
        <f>SUM(H11:I11)</f>
        <v>110000</v>
      </c>
      <c r="K11" s="66" t="s">
        <v>70</v>
      </c>
      <c r="L11" s="286">
        <v>5</v>
      </c>
      <c r="M11" s="287">
        <v>10</v>
      </c>
      <c r="N11" s="347"/>
      <c r="O11" s="270">
        <v>44196</v>
      </c>
      <c r="P11" s="271">
        <v>44203</v>
      </c>
      <c r="Q11" s="270">
        <v>44225</v>
      </c>
      <c r="R11" s="271">
        <v>44235</v>
      </c>
      <c r="S11" s="270">
        <v>44255</v>
      </c>
      <c r="T11" s="271">
        <v>44263</v>
      </c>
      <c r="U11" s="270">
        <v>44286</v>
      </c>
      <c r="V11" s="271">
        <v>44293</v>
      </c>
      <c r="W11" s="270">
        <v>44316</v>
      </c>
      <c r="X11" s="271">
        <v>44326</v>
      </c>
      <c r="Y11" s="270"/>
      <c r="Z11" s="271"/>
      <c r="AA11" s="270"/>
      <c r="AB11" s="271"/>
      <c r="AC11" s="270"/>
      <c r="AD11" s="271"/>
      <c r="AE11" s="270"/>
      <c r="AF11" s="271"/>
      <c r="AG11" s="270"/>
      <c r="AH11" s="271"/>
      <c r="AI11" s="270"/>
      <c r="AJ11" s="271"/>
      <c r="AK11" s="270"/>
      <c r="AL11" s="271"/>
      <c r="AM11" s="66">
        <f>IFERROR(
IF(M11="해지","제외",
IF(M11=25,DATE(AO$2,AO$3,DAY(M11)),
IF(M11=31,EOMONTH(DATE(AO$2,AO$3,29),0),
DATE(AO$2,AO$3+1,DAY(M11))))),"예외")</f>
        <v>44357</v>
      </c>
      <c r="AN11" s="346" t="str">
        <f>IFERROR(CHOOSE(WEEKDAY(AM11,2),"월","화","수","목","금","토","일"),"")</f>
        <v>목</v>
      </c>
      <c r="AO11" s="346"/>
      <c r="AP11" s="346"/>
      <c r="AQ11" s="346"/>
      <c r="AR11" s="346"/>
      <c r="AS11" s="373"/>
      <c r="AT11" s="346"/>
    </row>
    <row r="12" spans="1:46" s="348" customFormat="1" ht="18" customHeight="1" x14ac:dyDescent="0.3">
      <c r="A12" s="346">
        <v>5</v>
      </c>
      <c r="B12" s="319" t="s">
        <v>476</v>
      </c>
      <c r="C12" s="284">
        <v>1329239734</v>
      </c>
      <c r="D12" s="302">
        <v>13292397340</v>
      </c>
      <c r="E12" s="346"/>
      <c r="F12" s="66">
        <v>43600</v>
      </c>
      <c r="G12" s="66">
        <v>43965</v>
      </c>
      <c r="H12" s="347">
        <v>400000</v>
      </c>
      <c r="I12" s="347">
        <f>H12*0.1</f>
        <v>40000</v>
      </c>
      <c r="J12" s="347">
        <f>SUM(H12:I12)</f>
        <v>440000</v>
      </c>
      <c r="K12" s="66" t="s">
        <v>70</v>
      </c>
      <c r="L12" s="286">
        <v>5</v>
      </c>
      <c r="M12" s="287">
        <v>10</v>
      </c>
      <c r="N12" s="375"/>
      <c r="O12" s="270">
        <v>44196</v>
      </c>
      <c r="P12" s="271">
        <v>44203</v>
      </c>
      <c r="Q12" s="270">
        <v>44225</v>
      </c>
      <c r="R12" s="271">
        <v>44235</v>
      </c>
      <c r="S12" s="270">
        <v>44255</v>
      </c>
      <c r="T12" s="271">
        <v>44263</v>
      </c>
      <c r="U12" s="270">
        <v>44286</v>
      </c>
      <c r="V12" s="271">
        <v>44293</v>
      </c>
      <c r="W12" s="270">
        <v>44316</v>
      </c>
      <c r="X12" s="271">
        <v>44326</v>
      </c>
      <c r="Y12" s="270"/>
      <c r="Z12" s="271"/>
      <c r="AA12" s="270"/>
      <c r="AB12" s="271"/>
      <c r="AC12" s="270"/>
      <c r="AD12" s="271"/>
      <c r="AE12" s="270"/>
      <c r="AF12" s="271"/>
      <c r="AG12" s="270"/>
      <c r="AH12" s="271"/>
      <c r="AI12" s="270"/>
      <c r="AJ12" s="271"/>
      <c r="AK12" s="270"/>
      <c r="AL12" s="271"/>
      <c r="AM12" s="66">
        <f>IFERROR(
IF(M12="해지","제외",
IF(M12=25,DATE(AO$2,AO$3,DAY(M12)),
IF(M12=31,EOMONTH(DATE(AO$2,AO$3,29),0),
DATE(AO$2,AO$3+1,DAY(M12))))),"예외")</f>
        <v>44357</v>
      </c>
      <c r="AN12" s="346" t="str">
        <f>IFERROR(CHOOSE(WEEKDAY(AM12,2),"월","화","수","목","금","토","일"),"")</f>
        <v>목</v>
      </c>
      <c r="AO12" s="346"/>
      <c r="AP12" s="346"/>
      <c r="AQ12" s="346"/>
      <c r="AR12" s="346"/>
      <c r="AS12" s="373"/>
      <c r="AT12" s="346"/>
    </row>
    <row r="13" spans="1:46" s="348" customFormat="1" ht="18" customHeight="1" x14ac:dyDescent="0.3">
      <c r="A13" s="346">
        <v>6</v>
      </c>
      <c r="B13" s="319" t="s">
        <v>35</v>
      </c>
      <c r="C13" s="284">
        <v>2105060783</v>
      </c>
      <c r="D13" s="302">
        <v>21050607830</v>
      </c>
      <c r="E13" s="346"/>
      <c r="F13" s="66">
        <v>42826</v>
      </c>
      <c r="G13" s="66">
        <v>43190</v>
      </c>
      <c r="H13" s="347">
        <v>100000</v>
      </c>
      <c r="I13" s="347">
        <f>H13*0.1</f>
        <v>10000</v>
      </c>
      <c r="J13" s="347">
        <f>SUM(H13:I13)</f>
        <v>110000</v>
      </c>
      <c r="K13" s="66" t="s">
        <v>70</v>
      </c>
      <c r="L13" s="286">
        <v>10</v>
      </c>
      <c r="M13" s="287">
        <v>25</v>
      </c>
      <c r="N13" s="375"/>
      <c r="O13" s="270">
        <v>44196</v>
      </c>
      <c r="P13" s="271">
        <v>44209</v>
      </c>
      <c r="Q13" s="270">
        <v>44225</v>
      </c>
      <c r="R13" s="271">
        <v>44237</v>
      </c>
      <c r="S13" s="270">
        <v>44255</v>
      </c>
      <c r="T13" s="271">
        <v>44267</v>
      </c>
      <c r="U13" s="270">
        <v>44286</v>
      </c>
      <c r="V13" s="271">
        <v>44300</v>
      </c>
      <c r="W13" s="270">
        <v>44316</v>
      </c>
      <c r="X13" s="271">
        <v>44328</v>
      </c>
      <c r="Y13" s="270"/>
      <c r="Z13" s="271"/>
      <c r="AA13" s="270"/>
      <c r="AB13" s="271"/>
      <c r="AC13" s="270"/>
      <c r="AD13" s="271"/>
      <c r="AE13" s="270"/>
      <c r="AF13" s="271"/>
      <c r="AG13" s="270"/>
      <c r="AH13" s="271"/>
      <c r="AI13" s="270"/>
      <c r="AJ13" s="271"/>
      <c r="AK13" s="270"/>
      <c r="AL13" s="271"/>
      <c r="AM13" s="66">
        <f>IFERROR(
IF(M13="해지","제외",
IF(M13=25,DATE(AO$2,AO$3,DAY(M13)),
IF(M13=31,EOMONTH(DATE(AO$2,AO$3,29),0),
DATE(AO$2,AO$3+1,DAY(M13))))),"예외")</f>
        <v>44341</v>
      </c>
      <c r="AN13" s="346" t="str">
        <f>IFERROR(CHOOSE(WEEKDAY(AM13,2),"월","화","수","목","금","토","일"),"")</f>
        <v>화</v>
      </c>
      <c r="AO13" s="346"/>
      <c r="AP13" s="346"/>
      <c r="AQ13" s="346"/>
      <c r="AR13" s="346"/>
      <c r="AS13" s="346"/>
      <c r="AT13" s="346"/>
    </row>
    <row r="14" spans="1:46" s="348" customFormat="1" ht="18" customHeight="1" x14ac:dyDescent="0.3">
      <c r="A14" s="373">
        <v>7</v>
      </c>
      <c r="B14" s="319" t="s">
        <v>578</v>
      </c>
      <c r="C14" s="284">
        <v>2171086662</v>
      </c>
      <c r="D14" s="302">
        <v>21710866620</v>
      </c>
      <c r="E14" s="373"/>
      <c r="F14" s="66">
        <v>44013</v>
      </c>
      <c r="G14" s="66">
        <v>44377</v>
      </c>
      <c r="H14" s="375">
        <v>70000</v>
      </c>
      <c r="I14" s="375">
        <f>H14*0.1</f>
        <v>7000</v>
      </c>
      <c r="J14" s="375">
        <f>SUM(H14:I14)</f>
        <v>77000</v>
      </c>
      <c r="K14" s="66" t="s">
        <v>70</v>
      </c>
      <c r="L14" s="286">
        <v>10</v>
      </c>
      <c r="M14" s="287">
        <v>25</v>
      </c>
      <c r="N14" s="375"/>
      <c r="O14" s="270">
        <v>44196</v>
      </c>
      <c r="P14" s="271">
        <v>44214</v>
      </c>
      <c r="Q14" s="270">
        <v>44225</v>
      </c>
      <c r="R14" s="271">
        <v>44237</v>
      </c>
      <c r="S14" s="270">
        <v>44255</v>
      </c>
      <c r="T14" s="271">
        <v>44267</v>
      </c>
      <c r="U14" s="270">
        <v>44286</v>
      </c>
      <c r="V14" s="271">
        <v>44300</v>
      </c>
      <c r="W14" s="270">
        <v>44316</v>
      </c>
      <c r="X14" s="271">
        <v>44328</v>
      </c>
      <c r="Y14" s="270"/>
      <c r="Z14" s="271"/>
      <c r="AA14" s="270"/>
      <c r="AB14" s="271"/>
      <c r="AC14" s="270"/>
      <c r="AD14" s="271"/>
      <c r="AE14" s="270"/>
      <c r="AF14" s="271"/>
      <c r="AG14" s="270"/>
      <c r="AH14" s="271"/>
      <c r="AI14" s="270"/>
      <c r="AJ14" s="271"/>
      <c r="AK14" s="270"/>
      <c r="AL14" s="271"/>
      <c r="AM14" s="66">
        <f>IFERROR(
IF(M14="해지","제외",
IF(M14=25,DATE(AO$2,AO$3,DAY(M14)),
IF(M14=31,EOMONTH(DATE(AO$2,AO$3,29),0),
DATE(AO$2,AO$3+1,DAY(M14))))),"예외")</f>
        <v>44341</v>
      </c>
      <c r="AN14" s="373" t="str">
        <f>IFERROR(CHOOSE(WEEKDAY(AM14,2),"월","화","수","목","금","토","일"),"")</f>
        <v>화</v>
      </c>
      <c r="AO14" s="373"/>
      <c r="AP14" s="373"/>
      <c r="AQ14" s="373"/>
      <c r="AR14" s="373"/>
      <c r="AS14" s="373"/>
      <c r="AT14" s="373"/>
    </row>
    <row r="15" spans="1:46" s="348" customFormat="1" ht="18" customHeight="1" x14ac:dyDescent="0.3">
      <c r="A15" s="346">
        <v>8</v>
      </c>
      <c r="B15" s="319" t="s">
        <v>14</v>
      </c>
      <c r="C15" s="284">
        <v>1199601081</v>
      </c>
      <c r="D15" s="302">
        <v>11996010810</v>
      </c>
      <c r="E15" s="346"/>
      <c r="F15" s="66">
        <v>42887</v>
      </c>
      <c r="G15" s="66">
        <v>43616</v>
      </c>
      <c r="H15" s="347">
        <v>300000</v>
      </c>
      <c r="I15" s="347">
        <f>H15*0.1</f>
        <v>30000</v>
      </c>
      <c r="J15" s="347">
        <f>SUM(H15:I15)</f>
        <v>330000</v>
      </c>
      <c r="K15" s="66" t="s">
        <v>474</v>
      </c>
      <c r="L15" s="286">
        <v>10</v>
      </c>
      <c r="M15" s="287">
        <v>5</v>
      </c>
      <c r="N15" s="347"/>
      <c r="O15" s="270">
        <v>44196</v>
      </c>
      <c r="P15" s="271">
        <v>44208</v>
      </c>
      <c r="Q15" s="270">
        <v>44225</v>
      </c>
      <c r="R15" s="271">
        <v>44237</v>
      </c>
      <c r="S15" s="270">
        <v>44255</v>
      </c>
      <c r="T15" s="271">
        <v>44265</v>
      </c>
      <c r="U15" s="270">
        <v>44286</v>
      </c>
      <c r="V15" s="271">
        <v>44298</v>
      </c>
      <c r="W15" s="270">
        <v>44316</v>
      </c>
      <c r="X15" s="271">
        <v>44326</v>
      </c>
      <c r="Y15" s="270"/>
      <c r="Z15" s="271"/>
      <c r="AA15" s="270"/>
      <c r="AB15" s="271"/>
      <c r="AC15" s="270"/>
      <c r="AD15" s="271"/>
      <c r="AE15" s="270"/>
      <c r="AF15" s="271"/>
      <c r="AG15" s="270"/>
      <c r="AH15" s="271"/>
      <c r="AI15" s="270"/>
      <c r="AJ15" s="271"/>
      <c r="AK15" s="270"/>
      <c r="AL15" s="271"/>
      <c r="AM15" s="66">
        <f>IFERROR(
IF(M15="해지","제외",
IF(M15=25,DATE(AO$2,AO$3,DAY(M15)),
IF(M15=31,EOMONTH(DATE(AO$2,AO$3,29),0),
DATE(AO$2,AO$3+1,DAY(M15))))),"예외")</f>
        <v>44352</v>
      </c>
      <c r="AN15" s="346" t="str">
        <f>IFERROR(CHOOSE(WEEKDAY(AM15,2),"월","화","수","목","금","토","일"),"")</f>
        <v>토</v>
      </c>
      <c r="AO15" s="346"/>
      <c r="AP15" s="346"/>
      <c r="AQ15" s="346"/>
      <c r="AR15" s="346"/>
      <c r="AS15" s="346"/>
      <c r="AT15" s="346"/>
    </row>
    <row r="16" spans="1:46" s="348" customFormat="1" ht="18" customHeight="1" x14ac:dyDescent="0.3">
      <c r="A16" s="373">
        <v>51</v>
      </c>
      <c r="B16" s="319" t="s">
        <v>610</v>
      </c>
      <c r="C16" s="284">
        <v>4743100812</v>
      </c>
      <c r="D16" s="302">
        <v>47431008120</v>
      </c>
      <c r="E16" s="373"/>
      <c r="F16" s="66">
        <v>44287</v>
      </c>
      <c r="G16" s="66">
        <v>44651</v>
      </c>
      <c r="H16" s="347">
        <v>100000</v>
      </c>
      <c r="I16" s="347">
        <f>H16*0.1</f>
        <v>10000</v>
      </c>
      <c r="J16" s="347">
        <f>SUM(H16:I16)</f>
        <v>110000</v>
      </c>
      <c r="K16" s="66" t="s">
        <v>70</v>
      </c>
      <c r="L16" s="286">
        <v>10</v>
      </c>
      <c r="M16" s="287">
        <v>5</v>
      </c>
      <c r="N16" s="347"/>
      <c r="O16" s="338"/>
      <c r="P16" s="339"/>
      <c r="Q16" s="338"/>
      <c r="R16" s="339"/>
      <c r="S16" s="338"/>
      <c r="T16" s="339"/>
      <c r="U16" s="338"/>
      <c r="V16" s="339"/>
      <c r="W16" s="270">
        <v>44326</v>
      </c>
      <c r="X16" s="271">
        <v>44328</v>
      </c>
      <c r="Y16" s="270"/>
      <c r="Z16" s="271"/>
      <c r="AA16" s="270"/>
      <c r="AB16" s="271"/>
      <c r="AC16" s="270"/>
      <c r="AD16" s="271"/>
      <c r="AE16" s="270"/>
      <c r="AF16" s="271"/>
      <c r="AG16" s="270"/>
      <c r="AH16" s="271"/>
      <c r="AI16" s="270"/>
      <c r="AJ16" s="271"/>
      <c r="AK16" s="270"/>
      <c r="AL16" s="271"/>
      <c r="AM16" s="66">
        <f>IFERROR(
IF(M16="해지","제외",
IF(M16=25,DATE(AO$2,AO$3,DAY(M16)),
IF(M16=31,EOMONTH(DATE(AO$2,AO$3,29),0),
DATE(AO$2,AO$3+1,DAY(M16))))),"예외")</f>
        <v>44352</v>
      </c>
      <c r="AN16" s="373" t="str">
        <f>IFERROR(CHOOSE(WEEKDAY(AM16,2),"월","화","수","목","금","토","일"),"")</f>
        <v>토</v>
      </c>
      <c r="AO16" s="121"/>
      <c r="AP16" s="121"/>
      <c r="AQ16" s="121"/>
      <c r="AR16" s="121"/>
      <c r="AS16" s="121"/>
      <c r="AT16" s="121"/>
    </row>
    <row r="17" spans="1:46" s="348" customFormat="1" ht="18" customHeight="1" x14ac:dyDescent="0.3">
      <c r="A17" s="346">
        <v>9</v>
      </c>
      <c r="B17" s="319" t="s">
        <v>577</v>
      </c>
      <c r="C17" s="284">
        <v>6560501321</v>
      </c>
      <c r="D17" s="302">
        <v>65605013210</v>
      </c>
      <c r="E17" s="346"/>
      <c r="F17" s="66">
        <v>43783</v>
      </c>
      <c r="G17" s="66">
        <v>44148</v>
      </c>
      <c r="H17" s="347">
        <v>100000</v>
      </c>
      <c r="I17" s="347">
        <f>H17*0.1</f>
        <v>10000</v>
      </c>
      <c r="J17" s="347">
        <f>SUM(H17:I17)</f>
        <v>110000</v>
      </c>
      <c r="K17" s="66" t="s">
        <v>70</v>
      </c>
      <c r="L17" s="286">
        <v>10</v>
      </c>
      <c r="M17" s="287">
        <v>10</v>
      </c>
      <c r="N17" s="347"/>
      <c r="O17" s="270">
        <v>44196</v>
      </c>
      <c r="P17" s="271">
        <v>44209</v>
      </c>
      <c r="Q17" s="270">
        <v>44225</v>
      </c>
      <c r="R17" s="271">
        <v>44237</v>
      </c>
      <c r="S17" s="270">
        <v>44255</v>
      </c>
      <c r="T17" s="271">
        <v>44267</v>
      </c>
      <c r="U17" s="270">
        <v>44286</v>
      </c>
      <c r="V17" s="271">
        <v>44300</v>
      </c>
      <c r="W17" s="270">
        <v>44316</v>
      </c>
      <c r="X17" s="271">
        <v>44328</v>
      </c>
      <c r="Y17" s="270"/>
      <c r="Z17" s="271"/>
      <c r="AA17" s="270"/>
      <c r="AB17" s="271"/>
      <c r="AC17" s="270"/>
      <c r="AD17" s="271"/>
      <c r="AE17" s="270"/>
      <c r="AF17" s="271"/>
      <c r="AG17" s="270"/>
      <c r="AH17" s="271"/>
      <c r="AI17" s="270"/>
      <c r="AJ17" s="271"/>
      <c r="AK17" s="270"/>
      <c r="AL17" s="271"/>
      <c r="AM17" s="66">
        <f>IFERROR(
IF(M17="해지","제외",
IF(M17=25,DATE(AO$2,AO$3,DAY(M17)),
IF(M17=31,EOMONTH(DATE(AO$2,AO$3,29),0),
DATE(AO$2,AO$3+1,DAY(M17))))),"예외")</f>
        <v>44357</v>
      </c>
      <c r="AN17" s="346" t="str">
        <f>IFERROR(CHOOSE(WEEKDAY(AM17,2),"월","화","수","목","금","토","일"),"")</f>
        <v>목</v>
      </c>
      <c r="AO17" s="346"/>
      <c r="AP17" s="346"/>
      <c r="AQ17" s="346"/>
      <c r="AR17" s="346"/>
      <c r="AS17" s="373"/>
      <c r="AT17" s="346"/>
    </row>
    <row r="18" spans="1:46" s="348" customFormat="1" ht="18" customHeight="1" x14ac:dyDescent="0.3">
      <c r="A18" s="346">
        <v>10</v>
      </c>
      <c r="B18" s="319" t="s">
        <v>24</v>
      </c>
      <c r="C18" s="284">
        <v>2098159470</v>
      </c>
      <c r="D18" s="302">
        <v>20981594700</v>
      </c>
      <c r="E18" s="346"/>
      <c r="F18" s="66">
        <v>43063</v>
      </c>
      <c r="G18" s="66">
        <v>43465</v>
      </c>
      <c r="H18" s="347">
        <v>150000</v>
      </c>
      <c r="I18" s="347">
        <f>H18*0.1</f>
        <v>15000</v>
      </c>
      <c r="J18" s="347">
        <f>SUM(H18:I18)</f>
        <v>165000</v>
      </c>
      <c r="K18" s="66" t="s">
        <v>70</v>
      </c>
      <c r="L18" s="286">
        <v>10</v>
      </c>
      <c r="M18" s="287">
        <v>10</v>
      </c>
      <c r="N18" s="375"/>
      <c r="O18" s="270">
        <v>44196</v>
      </c>
      <c r="P18" s="271">
        <v>44209</v>
      </c>
      <c r="Q18" s="270">
        <v>44225</v>
      </c>
      <c r="R18" s="271">
        <v>44237</v>
      </c>
      <c r="S18" s="270">
        <v>44255</v>
      </c>
      <c r="T18" s="271">
        <v>44267</v>
      </c>
      <c r="U18" s="270">
        <v>44286</v>
      </c>
      <c r="V18" s="271">
        <v>44300</v>
      </c>
      <c r="W18" s="270">
        <v>44316</v>
      </c>
      <c r="X18" s="271">
        <v>44328</v>
      </c>
      <c r="Y18" s="270"/>
      <c r="Z18" s="271"/>
      <c r="AA18" s="270"/>
      <c r="AB18" s="271"/>
      <c r="AC18" s="270"/>
      <c r="AD18" s="271"/>
      <c r="AE18" s="270"/>
      <c r="AF18" s="271"/>
      <c r="AG18" s="270"/>
      <c r="AH18" s="271"/>
      <c r="AI18" s="270"/>
      <c r="AJ18" s="271"/>
      <c r="AK18" s="270"/>
      <c r="AL18" s="271"/>
      <c r="AM18" s="66">
        <f>IFERROR(
IF(M18="해지","제외",
IF(M18=25,DATE(AO$2,AO$3,DAY(M18)),
IF(M18=31,EOMONTH(DATE(AO$2,AO$3,29),0),
DATE(AO$2,AO$3+1,DAY(M18))))),"예외")</f>
        <v>44357</v>
      </c>
      <c r="AN18" s="346" t="str">
        <f>IFERROR(CHOOSE(WEEKDAY(AM18,2),"월","화","수","목","금","토","일"),"")</f>
        <v>목</v>
      </c>
      <c r="AO18" s="346"/>
      <c r="AP18" s="346"/>
      <c r="AQ18" s="346"/>
      <c r="AR18" s="346"/>
      <c r="AS18" s="346"/>
      <c r="AT18" s="346"/>
    </row>
    <row r="19" spans="1:46" s="348" customFormat="1" ht="18" customHeight="1" x14ac:dyDescent="0.3">
      <c r="A19" s="346">
        <v>11</v>
      </c>
      <c r="B19" s="319" t="s">
        <v>586</v>
      </c>
      <c r="C19" s="284">
        <v>5080944771</v>
      </c>
      <c r="D19" s="302">
        <v>50809447710</v>
      </c>
      <c r="E19" s="346"/>
      <c r="F19" s="66">
        <v>43132</v>
      </c>
      <c r="G19" s="66">
        <v>43496</v>
      </c>
      <c r="H19" s="347">
        <v>100000</v>
      </c>
      <c r="I19" s="347">
        <f>H19*0.1</f>
        <v>10000</v>
      </c>
      <c r="J19" s="347">
        <f>SUM(H19:I19)</f>
        <v>110000</v>
      </c>
      <c r="K19" s="66" t="s">
        <v>70</v>
      </c>
      <c r="L19" s="286">
        <v>10</v>
      </c>
      <c r="M19" s="287">
        <v>10</v>
      </c>
      <c r="N19" s="374" t="s">
        <v>587</v>
      </c>
      <c r="O19" s="270">
        <v>44196</v>
      </c>
      <c r="P19" s="271">
        <v>44209</v>
      </c>
      <c r="Q19" s="270">
        <v>44225</v>
      </c>
      <c r="R19" s="271">
        <v>44237</v>
      </c>
      <c r="S19" s="270">
        <v>44255</v>
      </c>
      <c r="T19" s="271">
        <v>44267</v>
      </c>
      <c r="U19" s="270">
        <v>44286</v>
      </c>
      <c r="V19" s="271">
        <v>44300</v>
      </c>
      <c r="W19" s="270">
        <v>44316</v>
      </c>
      <c r="X19" s="271">
        <v>44328</v>
      </c>
      <c r="Y19" s="270"/>
      <c r="Z19" s="271"/>
      <c r="AA19" s="270"/>
      <c r="AB19" s="271"/>
      <c r="AC19" s="270"/>
      <c r="AD19" s="271"/>
      <c r="AE19" s="270"/>
      <c r="AF19" s="271"/>
      <c r="AG19" s="270"/>
      <c r="AH19" s="271"/>
      <c r="AI19" s="270"/>
      <c r="AJ19" s="271"/>
      <c r="AK19" s="270"/>
      <c r="AL19" s="271"/>
      <c r="AM19" s="66">
        <f>IFERROR(
IF(M19="해지","제외",
IF(M19=25,DATE(AO$2,AO$3,DAY(M19)),
IF(M19=31,EOMONTH(DATE(AO$2,AO$3,29),0),
DATE(AO$2,AO$3+1,DAY(M19))))),"예외")</f>
        <v>44357</v>
      </c>
      <c r="AN19" s="346" t="str">
        <f>IFERROR(CHOOSE(WEEKDAY(AM19,2),"월","화","수","목","금","토","일"),"")</f>
        <v>목</v>
      </c>
      <c r="AO19" s="346"/>
      <c r="AP19" s="346"/>
      <c r="AQ19" s="346"/>
      <c r="AR19" s="346"/>
      <c r="AS19" s="346"/>
      <c r="AT19" s="346"/>
    </row>
    <row r="20" spans="1:46" s="348" customFormat="1" ht="18" customHeight="1" x14ac:dyDescent="0.3">
      <c r="A20" s="346">
        <v>12</v>
      </c>
      <c r="B20" s="319" t="s">
        <v>604</v>
      </c>
      <c r="C20" s="284">
        <v>7329100686</v>
      </c>
      <c r="D20" s="302">
        <v>73291006860</v>
      </c>
      <c r="E20" s="346"/>
      <c r="F20" s="66">
        <v>43405</v>
      </c>
      <c r="G20" s="66">
        <v>43769</v>
      </c>
      <c r="H20" s="347">
        <v>110000</v>
      </c>
      <c r="I20" s="347">
        <f>H20*0.1</f>
        <v>11000</v>
      </c>
      <c r="J20" s="347">
        <f>SUM(H20:I20)</f>
        <v>121000</v>
      </c>
      <c r="K20" s="66" t="s">
        <v>70</v>
      </c>
      <c r="L20" s="286">
        <v>10</v>
      </c>
      <c r="M20" s="287">
        <v>10</v>
      </c>
      <c r="N20" s="375"/>
      <c r="O20" s="270">
        <v>44196</v>
      </c>
      <c r="P20" s="271">
        <v>44209</v>
      </c>
      <c r="Q20" s="270">
        <v>44225</v>
      </c>
      <c r="R20" s="271">
        <v>44237</v>
      </c>
      <c r="S20" s="270">
        <v>44255</v>
      </c>
      <c r="T20" s="271">
        <v>44267</v>
      </c>
      <c r="U20" s="270">
        <v>44286</v>
      </c>
      <c r="V20" s="271">
        <v>44300</v>
      </c>
      <c r="W20" s="270">
        <v>44316</v>
      </c>
      <c r="X20" s="271">
        <v>44328</v>
      </c>
      <c r="Y20" s="270"/>
      <c r="Z20" s="271"/>
      <c r="AA20" s="270"/>
      <c r="AB20" s="271"/>
      <c r="AC20" s="270"/>
      <c r="AD20" s="271"/>
      <c r="AE20" s="270"/>
      <c r="AF20" s="271"/>
      <c r="AG20" s="270"/>
      <c r="AH20" s="271"/>
      <c r="AI20" s="270"/>
      <c r="AJ20" s="271"/>
      <c r="AK20" s="270"/>
      <c r="AL20" s="271"/>
      <c r="AM20" s="66">
        <f>IFERROR(
IF(M20="해지","제외",
IF(M20=25,DATE(AO$2,AO$3,DAY(M20)),
IF(M20=31,EOMONTH(DATE(AO$2,AO$3,29),0),
DATE(AO$2,AO$3+1,DAY(M20))))),"예외")</f>
        <v>44357</v>
      </c>
      <c r="AN20" s="346" t="str">
        <f>IFERROR(CHOOSE(WEEKDAY(AM20,2),"월","화","수","목","금","토","일"),"")</f>
        <v>목</v>
      </c>
      <c r="AO20" s="346"/>
      <c r="AP20" s="346"/>
      <c r="AQ20" s="346"/>
      <c r="AR20" s="346"/>
      <c r="AS20" s="346"/>
      <c r="AT20" s="346"/>
    </row>
    <row r="21" spans="1:46" s="348" customFormat="1" ht="18" customHeight="1" x14ac:dyDescent="0.3">
      <c r="A21" s="346">
        <v>13</v>
      </c>
      <c r="B21" s="319" t="s">
        <v>32</v>
      </c>
      <c r="C21" s="284">
        <v>1288702947</v>
      </c>
      <c r="D21" s="302">
        <v>12887029470</v>
      </c>
      <c r="E21" s="346"/>
      <c r="F21" s="66">
        <v>43444</v>
      </c>
      <c r="G21" s="66">
        <v>43830</v>
      </c>
      <c r="H21" s="347">
        <v>300000</v>
      </c>
      <c r="I21" s="347">
        <f>H21*0.1</f>
        <v>30000</v>
      </c>
      <c r="J21" s="347">
        <f>SUM(H21:I21)</f>
        <v>330000</v>
      </c>
      <c r="K21" s="66" t="s">
        <v>70</v>
      </c>
      <c r="L21" s="286">
        <v>10</v>
      </c>
      <c r="M21" s="287">
        <v>10</v>
      </c>
      <c r="N21" s="374" t="s">
        <v>616</v>
      </c>
      <c r="O21" s="270">
        <v>44196</v>
      </c>
      <c r="P21" s="271">
        <v>44209</v>
      </c>
      <c r="Q21" s="270">
        <v>44225</v>
      </c>
      <c r="R21" s="271">
        <v>44237</v>
      </c>
      <c r="S21" s="270">
        <v>44255</v>
      </c>
      <c r="T21" s="271">
        <v>44267</v>
      </c>
      <c r="U21" s="276">
        <v>44286</v>
      </c>
      <c r="V21" s="277">
        <v>44300</v>
      </c>
      <c r="W21" s="270">
        <v>44316</v>
      </c>
      <c r="X21" s="271">
        <v>44328</v>
      </c>
      <c r="Y21" s="270"/>
      <c r="Z21" s="271"/>
      <c r="AA21" s="270"/>
      <c r="AB21" s="271"/>
      <c r="AC21" s="270"/>
      <c r="AD21" s="271"/>
      <c r="AE21" s="270"/>
      <c r="AF21" s="271"/>
      <c r="AG21" s="270"/>
      <c r="AH21" s="271"/>
      <c r="AI21" s="270"/>
      <c r="AJ21" s="271"/>
      <c r="AK21" s="270"/>
      <c r="AL21" s="271"/>
      <c r="AM21" s="66">
        <f>IFERROR(
IF(M21="해지","제외",
IF(M21=25,DATE(AO$2,AO$3,DAY(M21)),
IF(M21=31,EOMONTH(DATE(AO$2,AO$3,29),0),
DATE(AO$2,AO$3+1,DAY(M21))))),"예외")</f>
        <v>44357</v>
      </c>
      <c r="AN21" s="346" t="str">
        <f>IFERROR(CHOOSE(WEEKDAY(AM21,2),"월","화","수","목","금","토","일"),"")</f>
        <v>목</v>
      </c>
      <c r="AO21" s="373"/>
      <c r="AP21" s="373"/>
      <c r="AQ21" s="373"/>
      <c r="AR21" s="373"/>
      <c r="AS21" s="373"/>
      <c r="AT21" s="373"/>
    </row>
    <row r="22" spans="1:46" s="348" customFormat="1" ht="18" customHeight="1" x14ac:dyDescent="0.3">
      <c r="A22" s="346">
        <v>48</v>
      </c>
      <c r="B22" s="319" t="s">
        <v>606</v>
      </c>
      <c r="C22" s="284">
        <v>1280159034</v>
      </c>
      <c r="D22" s="302">
        <v>12801590340</v>
      </c>
      <c r="E22" s="346"/>
      <c r="F22" s="66">
        <v>44287</v>
      </c>
      <c r="G22" s="66">
        <v>44650</v>
      </c>
      <c r="H22" s="347">
        <v>250000</v>
      </c>
      <c r="I22" s="347">
        <f>H22*0.1</f>
        <v>25000</v>
      </c>
      <c r="J22" s="347">
        <f>SUM(H22:I22)</f>
        <v>275000</v>
      </c>
      <c r="K22" s="66" t="s">
        <v>70</v>
      </c>
      <c r="L22" s="286">
        <v>10</v>
      </c>
      <c r="M22" s="290">
        <v>10</v>
      </c>
      <c r="N22" s="347"/>
      <c r="O22" s="338"/>
      <c r="P22" s="339"/>
      <c r="Q22" s="338"/>
      <c r="R22" s="339"/>
      <c r="S22" s="338"/>
      <c r="T22" s="339"/>
      <c r="U22" s="338"/>
      <c r="V22" s="339"/>
      <c r="W22" s="270">
        <v>44316</v>
      </c>
      <c r="X22" s="271">
        <v>44328</v>
      </c>
      <c r="Y22" s="270"/>
      <c r="Z22" s="271"/>
      <c r="AA22" s="270"/>
      <c r="AB22" s="271"/>
      <c r="AC22" s="270"/>
      <c r="AD22" s="271"/>
      <c r="AE22" s="270"/>
      <c r="AF22" s="271"/>
      <c r="AG22" s="270"/>
      <c r="AH22" s="271"/>
      <c r="AI22" s="270"/>
      <c r="AJ22" s="271"/>
      <c r="AK22" s="270"/>
      <c r="AL22" s="271"/>
      <c r="AM22" s="66">
        <f>IFERROR(
IF(M22="해지","제외",
IF(M22=25,DATE(AO$2,AO$3,DAY(M22)),
IF(M22=31,EOMONTH(DATE(AO$2,AO$3,29),0),
DATE(AO$2,AO$3+1,DAY(M22))))),"예외")</f>
        <v>44357</v>
      </c>
      <c r="AN22" s="346" t="str">
        <f>IFERROR(CHOOSE(WEEKDAY(AM22,2),"월","화","수","목","금","토","일"),"")</f>
        <v>목</v>
      </c>
      <c r="AO22" s="121"/>
      <c r="AP22" s="121"/>
      <c r="AQ22" s="121"/>
      <c r="AR22" s="121"/>
      <c r="AS22" s="121"/>
      <c r="AT22" s="121"/>
    </row>
    <row r="23" spans="1:46" ht="18" customHeight="1" x14ac:dyDescent="0.3">
      <c r="A23" s="346">
        <v>14</v>
      </c>
      <c r="B23" s="319" t="s">
        <v>612</v>
      </c>
      <c r="C23" s="284">
        <v>2103640234</v>
      </c>
      <c r="D23" s="302">
        <v>21036402340</v>
      </c>
      <c r="E23" s="346"/>
      <c r="F23" s="66">
        <v>42913</v>
      </c>
      <c r="G23" s="66">
        <v>43277</v>
      </c>
      <c r="H23" s="336">
        <v>70000</v>
      </c>
      <c r="I23" s="336">
        <f>H23*0.1</f>
        <v>7000</v>
      </c>
      <c r="J23" s="336">
        <f>SUM(H23:I23)</f>
        <v>77000</v>
      </c>
      <c r="K23" s="66" t="s">
        <v>70</v>
      </c>
      <c r="L23" s="288">
        <v>15</v>
      </c>
      <c r="M23" s="287">
        <v>31</v>
      </c>
      <c r="N23" s="336"/>
      <c r="O23" s="274">
        <v>44206</v>
      </c>
      <c r="P23" s="275">
        <v>44214</v>
      </c>
      <c r="Q23" s="274">
        <v>44237</v>
      </c>
      <c r="R23" s="275">
        <v>44244</v>
      </c>
      <c r="S23" s="274">
        <v>44265</v>
      </c>
      <c r="T23" s="275">
        <v>44272</v>
      </c>
      <c r="U23" s="274">
        <v>44295</v>
      </c>
      <c r="V23" s="275">
        <v>44305</v>
      </c>
      <c r="W23" s="274">
        <v>44326</v>
      </c>
      <c r="X23" s="275"/>
      <c r="Y23" s="274"/>
      <c r="Z23" s="275"/>
      <c r="AA23" s="274"/>
      <c r="AB23" s="275"/>
      <c r="AC23" s="274"/>
      <c r="AD23" s="275"/>
      <c r="AE23" s="274"/>
      <c r="AF23" s="275"/>
      <c r="AG23" s="274"/>
      <c r="AH23" s="275"/>
      <c r="AI23" s="274"/>
      <c r="AJ23" s="275"/>
      <c r="AK23" s="274"/>
      <c r="AL23" s="275"/>
      <c r="AM23" s="66">
        <f>IFERROR(
IF(M23="해지","제외",
IF(M23=25,DATE(AO$2,AO$3,DAY(M23)),
IF(M23=31,EOMONTH(DATE(AO$2,AO$3,29),0),
DATE(AO$2,AO$3+1,DAY(M23))))),"예외")</f>
        <v>44347</v>
      </c>
      <c r="AN23" s="346" t="str">
        <f>IFERROR(CHOOSE(WEEKDAY(AM23,2),"월","화","수","목","금","토","일"),"")</f>
        <v>월</v>
      </c>
      <c r="AO23" s="373"/>
      <c r="AP23" s="373"/>
      <c r="AQ23" s="373"/>
      <c r="AR23" s="373"/>
      <c r="AS23" s="373"/>
      <c r="AT23" s="373"/>
    </row>
    <row r="24" spans="1:46" ht="18" customHeight="1" x14ac:dyDescent="0.3">
      <c r="A24" s="346">
        <v>15</v>
      </c>
      <c r="B24" s="319" t="s">
        <v>613</v>
      </c>
      <c r="C24" s="284">
        <v>4211800459</v>
      </c>
      <c r="D24" s="302">
        <v>42118004590</v>
      </c>
      <c r="E24" s="346"/>
      <c r="F24" s="66">
        <v>42901</v>
      </c>
      <c r="G24" s="66">
        <v>43630</v>
      </c>
      <c r="H24" s="351">
        <v>100000</v>
      </c>
      <c r="I24" s="351">
        <f>H24*0.1</f>
        <v>10000</v>
      </c>
      <c r="J24" s="351">
        <f>SUM(H24:I24)</f>
        <v>110000</v>
      </c>
      <c r="K24" s="66" t="s">
        <v>70</v>
      </c>
      <c r="L24" s="288">
        <v>15</v>
      </c>
      <c r="M24" s="287">
        <v>31</v>
      </c>
      <c r="N24" s="347"/>
      <c r="O24" s="274">
        <v>44206</v>
      </c>
      <c r="P24" s="275">
        <v>44214</v>
      </c>
      <c r="Q24" s="274">
        <v>44237</v>
      </c>
      <c r="R24" s="275">
        <v>44244</v>
      </c>
      <c r="S24" s="274">
        <v>44265</v>
      </c>
      <c r="T24" s="275">
        <v>44272</v>
      </c>
      <c r="U24" s="274">
        <v>44295</v>
      </c>
      <c r="V24" s="275">
        <v>44305</v>
      </c>
      <c r="W24" s="274">
        <v>44326</v>
      </c>
      <c r="X24" s="275"/>
      <c r="Y24" s="274"/>
      <c r="Z24" s="275"/>
      <c r="AA24" s="274"/>
      <c r="AB24" s="275"/>
      <c r="AC24" s="274"/>
      <c r="AD24" s="275"/>
      <c r="AE24" s="274"/>
      <c r="AF24" s="275"/>
      <c r="AG24" s="274"/>
      <c r="AH24" s="275"/>
      <c r="AI24" s="274"/>
      <c r="AJ24" s="275"/>
      <c r="AK24" s="274"/>
      <c r="AL24" s="275"/>
      <c r="AM24" s="66">
        <f>IFERROR(
IF(M24="해지","제외",
IF(M24=25,DATE(AO$2,AO$3,DAY(M24)),
IF(M24=31,EOMONTH(DATE(AO$2,AO$3,29),0),
DATE(AO$2,AO$3+1,DAY(M24))))),"예외")</f>
        <v>44347</v>
      </c>
      <c r="AN24" s="346" t="str">
        <f>IFERROR(CHOOSE(WEEKDAY(AM24,2),"월","화","수","목","금","토","일"),"")</f>
        <v>월</v>
      </c>
      <c r="AO24" s="373"/>
      <c r="AP24" s="373"/>
      <c r="AQ24" s="373"/>
      <c r="AR24" s="373"/>
      <c r="AS24" s="373"/>
      <c r="AT24" s="373"/>
    </row>
    <row r="25" spans="1:46" ht="18" customHeight="1" x14ac:dyDescent="0.3">
      <c r="A25" s="373">
        <v>16</v>
      </c>
      <c r="B25" s="319" t="s">
        <v>27</v>
      </c>
      <c r="C25" s="284">
        <v>4338800659</v>
      </c>
      <c r="D25" s="302">
        <v>43388006590</v>
      </c>
      <c r="E25" s="373"/>
      <c r="F25" s="66">
        <v>42956</v>
      </c>
      <c r="G25" s="66">
        <v>43320</v>
      </c>
      <c r="H25" s="375">
        <v>100000</v>
      </c>
      <c r="I25" s="375">
        <f>H25*0.1</f>
        <v>10000</v>
      </c>
      <c r="J25" s="375">
        <f>SUM(H25:I25)</f>
        <v>110000</v>
      </c>
      <c r="K25" s="66" t="s">
        <v>70</v>
      </c>
      <c r="L25" s="288">
        <v>15</v>
      </c>
      <c r="M25" s="287">
        <v>10</v>
      </c>
      <c r="N25" s="375"/>
      <c r="O25" s="274">
        <v>44206</v>
      </c>
      <c r="P25" s="275">
        <v>44214</v>
      </c>
      <c r="Q25" s="274">
        <v>44237</v>
      </c>
      <c r="R25" s="275">
        <v>44244</v>
      </c>
      <c r="S25" s="274">
        <v>44265</v>
      </c>
      <c r="T25" s="275">
        <v>44272</v>
      </c>
      <c r="U25" s="274">
        <v>44295</v>
      </c>
      <c r="V25" s="275">
        <v>44305</v>
      </c>
      <c r="W25" s="274">
        <v>44326</v>
      </c>
      <c r="X25" s="275"/>
      <c r="Y25" s="274"/>
      <c r="Z25" s="275"/>
      <c r="AA25" s="274"/>
      <c r="AB25" s="275"/>
      <c r="AC25" s="274"/>
      <c r="AD25" s="275"/>
      <c r="AE25" s="274"/>
      <c r="AF25" s="275"/>
      <c r="AG25" s="274"/>
      <c r="AH25" s="275"/>
      <c r="AI25" s="274"/>
      <c r="AJ25" s="275"/>
      <c r="AK25" s="274"/>
      <c r="AL25" s="275"/>
      <c r="AM25" s="66">
        <f>IFERROR(
IF(M25="해지","제외",
IF(M25=25,DATE(AO$2,AO$3,DAY(M25)),
IF(M25=31,EOMONTH(DATE(AO$2,AO$3,29),0),
DATE(AO$2,AO$3+1,DAY(M25))))),"예외")</f>
        <v>44357</v>
      </c>
      <c r="AN25" s="373" t="str">
        <f>IFERROR(CHOOSE(WEEKDAY(AM25,2),"월","화","수","목","금","토","일"),"")</f>
        <v>목</v>
      </c>
      <c r="AO25" s="373"/>
      <c r="AP25" s="373"/>
      <c r="AQ25" s="373"/>
      <c r="AR25" s="373"/>
      <c r="AS25" s="373"/>
      <c r="AT25" s="373"/>
    </row>
    <row r="26" spans="1:46" ht="18" customHeight="1" x14ac:dyDescent="0.3">
      <c r="A26" s="346">
        <v>18</v>
      </c>
      <c r="B26" s="319" t="s">
        <v>34</v>
      </c>
      <c r="C26" s="284">
        <v>2101389960</v>
      </c>
      <c r="D26" s="302">
        <v>21013899600</v>
      </c>
      <c r="E26" s="346"/>
      <c r="F26" s="66">
        <v>42915</v>
      </c>
      <c r="G26" s="66">
        <v>43644</v>
      </c>
      <c r="H26" s="347">
        <v>120000</v>
      </c>
      <c r="I26" s="347">
        <f>H26*0.1</f>
        <v>12000</v>
      </c>
      <c r="J26" s="347">
        <f>SUM(H26:I26)</f>
        <v>132000</v>
      </c>
      <c r="K26" s="66" t="s">
        <v>70</v>
      </c>
      <c r="L26" s="288">
        <v>15</v>
      </c>
      <c r="M26" s="287">
        <v>15</v>
      </c>
      <c r="N26" s="347"/>
      <c r="O26" s="274">
        <v>44206</v>
      </c>
      <c r="P26" s="275">
        <v>44214</v>
      </c>
      <c r="Q26" s="274">
        <v>44237</v>
      </c>
      <c r="R26" s="275">
        <v>44244</v>
      </c>
      <c r="S26" s="274">
        <v>44265</v>
      </c>
      <c r="T26" s="275">
        <v>44272</v>
      </c>
      <c r="U26" s="274">
        <v>44295</v>
      </c>
      <c r="V26" s="275">
        <v>44305</v>
      </c>
      <c r="W26" s="274">
        <v>44326</v>
      </c>
      <c r="X26" s="275"/>
      <c r="Y26" s="274"/>
      <c r="Z26" s="275"/>
      <c r="AA26" s="274"/>
      <c r="AB26" s="275"/>
      <c r="AC26" s="274"/>
      <c r="AD26" s="275"/>
      <c r="AE26" s="274"/>
      <c r="AF26" s="275"/>
      <c r="AG26" s="274"/>
      <c r="AH26" s="275"/>
      <c r="AI26" s="274"/>
      <c r="AJ26" s="275"/>
      <c r="AK26" s="274"/>
      <c r="AL26" s="275"/>
      <c r="AM26" s="66">
        <f>IFERROR(
IF(M26="해지","제외",
IF(M26=25,DATE(AO$2,AO$3,DAY(M26)),
IF(M26=31,EOMONTH(DATE(AO$2,AO$3,29),0),
DATE(AO$2,AO$3+1,DAY(M26))))),"예외")</f>
        <v>44362</v>
      </c>
      <c r="AN26" s="346" t="str">
        <f>IFERROR(CHOOSE(WEEKDAY(AM26,2),"월","화","수","목","금","토","일"),"")</f>
        <v>화</v>
      </c>
      <c r="AO26" s="368"/>
      <c r="AP26" s="368"/>
      <c r="AQ26" s="368"/>
      <c r="AR26" s="368"/>
      <c r="AS26" s="368"/>
      <c r="AT26" s="368"/>
    </row>
    <row r="27" spans="1:46" ht="18" customHeight="1" x14ac:dyDescent="0.3">
      <c r="A27" s="346">
        <v>19</v>
      </c>
      <c r="B27" s="319" t="s">
        <v>41</v>
      </c>
      <c r="C27" s="284">
        <v>7388600579</v>
      </c>
      <c r="D27" s="302">
        <v>73886005790</v>
      </c>
      <c r="E27" s="346"/>
      <c r="F27" s="66">
        <v>42736</v>
      </c>
      <c r="G27" s="66">
        <v>43100</v>
      </c>
      <c r="H27" s="336">
        <v>70000</v>
      </c>
      <c r="I27" s="336">
        <f>H27*0.1</f>
        <v>7000</v>
      </c>
      <c r="J27" s="336">
        <f>SUM(H27:I27)</f>
        <v>77000</v>
      </c>
      <c r="K27" s="66" t="s">
        <v>70</v>
      </c>
      <c r="L27" s="288">
        <v>20</v>
      </c>
      <c r="M27" s="287">
        <v>31</v>
      </c>
      <c r="N27" s="347"/>
      <c r="O27" s="274">
        <v>44206</v>
      </c>
      <c r="P27" s="275">
        <v>44218</v>
      </c>
      <c r="Q27" s="274">
        <v>44237</v>
      </c>
      <c r="R27" s="275">
        <v>44251</v>
      </c>
      <c r="S27" s="274">
        <v>44265</v>
      </c>
      <c r="T27" s="275">
        <v>44279</v>
      </c>
      <c r="U27" s="274">
        <v>44295</v>
      </c>
      <c r="V27" s="275">
        <v>44308</v>
      </c>
      <c r="W27" s="274">
        <v>44326</v>
      </c>
      <c r="X27" s="275"/>
      <c r="Y27" s="274"/>
      <c r="Z27" s="275"/>
      <c r="AA27" s="274"/>
      <c r="AB27" s="275"/>
      <c r="AC27" s="274"/>
      <c r="AD27" s="275"/>
      <c r="AE27" s="274"/>
      <c r="AF27" s="275"/>
      <c r="AG27" s="274"/>
      <c r="AH27" s="275"/>
      <c r="AI27" s="274"/>
      <c r="AJ27" s="275"/>
      <c r="AK27" s="274"/>
      <c r="AL27" s="275"/>
      <c r="AM27" s="66">
        <f>IFERROR(
IF(M27="해지","제외",
IF(M27=25,DATE(AO$2,AO$3,DAY(M27)),
IF(M27=31,EOMONTH(DATE(AO$2,AO$3,29),0),
DATE(AO$2,AO$3+1,DAY(M27))))),"예외")</f>
        <v>44347</v>
      </c>
      <c r="AN27" s="346" t="str">
        <f>IFERROR(CHOOSE(WEEKDAY(AM27,2),"월","화","수","목","금","토","일"),"")</f>
        <v>월</v>
      </c>
      <c r="AO27" s="346"/>
      <c r="AP27" s="346"/>
      <c r="AQ27" s="346"/>
      <c r="AR27" s="346"/>
      <c r="AS27" s="372"/>
      <c r="AT27" s="346"/>
    </row>
    <row r="28" spans="1:46" s="348" customFormat="1" ht="18" customHeight="1" x14ac:dyDescent="0.3">
      <c r="A28" s="346">
        <v>20</v>
      </c>
      <c r="B28" s="319" t="s">
        <v>15</v>
      </c>
      <c r="C28" s="284">
        <v>1272941383</v>
      </c>
      <c r="D28" s="302">
        <v>12729413830</v>
      </c>
      <c r="E28" s="346"/>
      <c r="F28" s="66">
        <v>43191</v>
      </c>
      <c r="G28" s="66">
        <v>43555</v>
      </c>
      <c r="H28" s="347">
        <v>50000</v>
      </c>
      <c r="I28" s="347">
        <f>H28*0.1</f>
        <v>5000</v>
      </c>
      <c r="J28" s="347">
        <f>SUM(H28:I28)</f>
        <v>55000</v>
      </c>
      <c r="K28" s="66" t="s">
        <v>70</v>
      </c>
      <c r="L28" s="288">
        <v>20</v>
      </c>
      <c r="M28" s="287">
        <v>3</v>
      </c>
      <c r="N28" s="351"/>
      <c r="O28" s="274">
        <v>44206</v>
      </c>
      <c r="P28" s="275">
        <v>44218</v>
      </c>
      <c r="Q28" s="274">
        <v>44237</v>
      </c>
      <c r="R28" s="275">
        <v>44251</v>
      </c>
      <c r="S28" s="274">
        <v>44265</v>
      </c>
      <c r="T28" s="275">
        <v>44279</v>
      </c>
      <c r="U28" s="274">
        <v>44295</v>
      </c>
      <c r="V28" s="275">
        <v>44308</v>
      </c>
      <c r="W28" s="274">
        <v>44326</v>
      </c>
      <c r="X28" s="275"/>
      <c r="Y28" s="274"/>
      <c r="Z28" s="275"/>
      <c r="AA28" s="274"/>
      <c r="AB28" s="275"/>
      <c r="AC28" s="274"/>
      <c r="AD28" s="275"/>
      <c r="AE28" s="274"/>
      <c r="AF28" s="275"/>
      <c r="AG28" s="274"/>
      <c r="AH28" s="275"/>
      <c r="AI28" s="274"/>
      <c r="AJ28" s="275"/>
      <c r="AK28" s="274"/>
      <c r="AL28" s="275"/>
      <c r="AM28" s="66">
        <f>IFERROR(
IF(M28="해지","제외",
IF(M28=25,DATE(AO$2,AO$3,DAY(M28)),
IF(M28=31,EOMONTH(DATE(AO$2,AO$3,29),0),
DATE(AO$2,AO$3+1,DAY(M28))))),"예외")</f>
        <v>44350</v>
      </c>
      <c r="AN28" s="346" t="str">
        <f>IFERROR(CHOOSE(WEEKDAY(AM28,2),"월","화","수","목","금","토","일"),"")</f>
        <v>목</v>
      </c>
      <c r="AO28" s="346"/>
      <c r="AP28" s="346"/>
      <c r="AQ28" s="346"/>
      <c r="AR28" s="346"/>
      <c r="AS28" s="346"/>
      <c r="AT28" s="346"/>
    </row>
    <row r="29" spans="1:46" s="348" customFormat="1" ht="18" customHeight="1" x14ac:dyDescent="0.3">
      <c r="A29" s="349">
        <v>21</v>
      </c>
      <c r="B29" s="319" t="s">
        <v>42</v>
      </c>
      <c r="C29" s="284">
        <v>2108175072</v>
      </c>
      <c r="D29" s="302">
        <v>21081750720</v>
      </c>
      <c r="E29" s="349"/>
      <c r="F29" s="66">
        <v>42950</v>
      </c>
      <c r="G29" s="66">
        <v>43314</v>
      </c>
      <c r="H29" s="347">
        <v>130000</v>
      </c>
      <c r="I29" s="347">
        <f>H29*0.1</f>
        <v>13000</v>
      </c>
      <c r="J29" s="347">
        <f>SUM(H29:I29)</f>
        <v>143000</v>
      </c>
      <c r="K29" s="66" t="s">
        <v>70</v>
      </c>
      <c r="L29" s="288">
        <v>20</v>
      </c>
      <c r="M29" s="287">
        <v>5</v>
      </c>
      <c r="N29" s="311" t="s">
        <v>602</v>
      </c>
      <c r="O29" s="274">
        <v>44206</v>
      </c>
      <c r="P29" s="275">
        <v>44218</v>
      </c>
      <c r="Q29" s="274">
        <v>44237</v>
      </c>
      <c r="R29" s="275">
        <v>44251</v>
      </c>
      <c r="S29" s="274">
        <v>44265</v>
      </c>
      <c r="T29" s="275">
        <v>44279</v>
      </c>
      <c r="U29" s="274">
        <v>44295</v>
      </c>
      <c r="V29" s="275">
        <v>44308</v>
      </c>
      <c r="W29" s="274">
        <v>44326</v>
      </c>
      <c r="X29" s="275"/>
      <c r="Y29" s="274"/>
      <c r="Z29" s="275"/>
      <c r="AA29" s="274"/>
      <c r="AB29" s="275"/>
      <c r="AC29" s="276"/>
      <c r="AD29" s="277"/>
      <c r="AE29" s="274"/>
      <c r="AF29" s="275"/>
      <c r="AG29" s="274"/>
      <c r="AH29" s="275"/>
      <c r="AI29" s="274"/>
      <c r="AJ29" s="275"/>
      <c r="AK29" s="274"/>
      <c r="AL29" s="275"/>
      <c r="AM29" s="66">
        <f>IFERROR(
IF(M29="해지","제외",
IF(M29=25,DATE(AO$2,AO$3,DAY(M29)),
IF(M29=31,EOMONTH(DATE(AO$2,AO$3,29),0),
DATE(AO$2,AO$3+1,DAY(M29))))),"예외")</f>
        <v>44352</v>
      </c>
      <c r="AN29" s="349" t="str">
        <f>IFERROR(CHOOSE(WEEKDAY(AM29,2),"월","화","수","목","금","토","일"),"")</f>
        <v>토</v>
      </c>
      <c r="AO29" s="349"/>
      <c r="AP29" s="349"/>
      <c r="AQ29" s="349"/>
      <c r="AR29" s="349"/>
      <c r="AS29" s="349"/>
      <c r="AT29" s="349"/>
    </row>
    <row r="30" spans="1:46" ht="18" customHeight="1" x14ac:dyDescent="0.3">
      <c r="A30" s="352">
        <v>22</v>
      </c>
      <c r="B30" s="353" t="s">
        <v>16</v>
      </c>
      <c r="C30" s="284">
        <v>4709000461</v>
      </c>
      <c r="D30" s="354">
        <v>47090004610</v>
      </c>
      <c r="E30" s="352"/>
      <c r="F30" s="66">
        <v>42948</v>
      </c>
      <c r="G30" s="66">
        <v>43677</v>
      </c>
      <c r="H30" s="336">
        <v>370000</v>
      </c>
      <c r="I30" s="336">
        <f>H30*0.1</f>
        <v>37000</v>
      </c>
      <c r="J30" s="336">
        <f>SUM(H30:I30)</f>
        <v>407000</v>
      </c>
      <c r="K30" s="66" t="s">
        <v>70</v>
      </c>
      <c r="L30" s="288">
        <v>20</v>
      </c>
      <c r="M30" s="287">
        <v>7</v>
      </c>
      <c r="N30" s="347"/>
      <c r="O30" s="274">
        <v>44206</v>
      </c>
      <c r="P30" s="275">
        <v>44218</v>
      </c>
      <c r="Q30" s="274">
        <v>44237</v>
      </c>
      <c r="R30" s="275">
        <v>44251</v>
      </c>
      <c r="S30" s="274">
        <v>44265</v>
      </c>
      <c r="T30" s="275">
        <v>44279</v>
      </c>
      <c r="U30" s="274">
        <v>44295</v>
      </c>
      <c r="V30" s="275">
        <v>44308</v>
      </c>
      <c r="W30" s="274">
        <v>44326</v>
      </c>
      <c r="X30" s="275"/>
      <c r="Y30" s="274"/>
      <c r="Z30" s="275"/>
      <c r="AA30" s="274"/>
      <c r="AB30" s="275"/>
      <c r="AC30" s="274"/>
      <c r="AD30" s="275"/>
      <c r="AE30" s="274"/>
      <c r="AF30" s="275"/>
      <c r="AG30" s="274"/>
      <c r="AH30" s="275"/>
      <c r="AI30" s="274"/>
      <c r="AJ30" s="275"/>
      <c r="AK30" s="274"/>
      <c r="AL30" s="275"/>
      <c r="AM30" s="355">
        <f>IFERROR(
IF(M30="해지","제외",
IF(M30=25,DATE(AO$2,AO$3,DAY(M30)),
IF(M30=31,EOMONTH(DATE(AO$2,AO$3,29),0),
DATE(AO$2,AO$3+1,DAY(M30))))),"예외")</f>
        <v>44354</v>
      </c>
      <c r="AN30" s="352" t="str">
        <f>IFERROR(CHOOSE(WEEKDAY(AM30,2),"월","화","수","목","금","토","일"),"")</f>
        <v>월</v>
      </c>
      <c r="AO30" s="352"/>
      <c r="AP30" s="352"/>
      <c r="AQ30" s="352"/>
      <c r="AR30" s="352"/>
      <c r="AS30" s="352"/>
      <c r="AT30" s="352"/>
    </row>
    <row r="31" spans="1:46" ht="18" customHeight="1" x14ac:dyDescent="0.3">
      <c r="A31" s="349">
        <v>23</v>
      </c>
      <c r="B31" s="319" t="s">
        <v>31</v>
      </c>
      <c r="C31" s="284">
        <v>2048633669</v>
      </c>
      <c r="D31" s="302">
        <v>20486336690</v>
      </c>
      <c r="E31" s="349"/>
      <c r="F31" s="66">
        <v>43388</v>
      </c>
      <c r="G31" s="66">
        <v>43752</v>
      </c>
      <c r="H31" s="345">
        <v>150000</v>
      </c>
      <c r="I31" s="345">
        <f>H31*0.1</f>
        <v>15000</v>
      </c>
      <c r="J31" s="345">
        <f>SUM(H31:I31)</f>
        <v>165000</v>
      </c>
      <c r="K31" s="66" t="s">
        <v>70</v>
      </c>
      <c r="L31" s="288">
        <v>20</v>
      </c>
      <c r="M31" s="287">
        <v>10</v>
      </c>
      <c r="N31" s="375"/>
      <c r="O31" s="274">
        <v>44206</v>
      </c>
      <c r="P31" s="275">
        <v>44218</v>
      </c>
      <c r="Q31" s="274">
        <v>44237</v>
      </c>
      <c r="R31" s="275">
        <v>44251</v>
      </c>
      <c r="S31" s="274">
        <v>44265</v>
      </c>
      <c r="T31" s="275">
        <v>44279</v>
      </c>
      <c r="U31" s="274">
        <v>44295</v>
      </c>
      <c r="V31" s="275">
        <v>44308</v>
      </c>
      <c r="W31" s="274">
        <v>44326</v>
      </c>
      <c r="X31" s="275"/>
      <c r="Y31" s="274"/>
      <c r="Z31" s="275"/>
      <c r="AA31" s="274"/>
      <c r="AB31" s="275"/>
      <c r="AC31" s="274"/>
      <c r="AD31" s="275"/>
      <c r="AE31" s="274"/>
      <c r="AF31" s="275"/>
      <c r="AG31" s="274"/>
      <c r="AH31" s="275"/>
      <c r="AI31" s="274"/>
      <c r="AJ31" s="275"/>
      <c r="AK31" s="274"/>
      <c r="AL31" s="275"/>
      <c r="AM31" s="66">
        <f>IFERROR(
IF(M31="해지","제외",
IF(M31=25,DATE(AO$2,AO$3,DAY(M31)),
IF(M31=31,EOMONTH(DATE(AO$2,AO$3,29),0),
DATE(AO$2,AO$3+1,DAY(M31))))),"예외")</f>
        <v>44357</v>
      </c>
      <c r="AN31" s="349" t="str">
        <f>IFERROR(CHOOSE(WEEKDAY(AM31,2),"월","화","수","목","금","토","일"),"")</f>
        <v>목</v>
      </c>
      <c r="AO31" s="349"/>
      <c r="AP31" s="349"/>
      <c r="AQ31" s="349"/>
      <c r="AR31" s="349"/>
      <c r="AS31" s="349"/>
      <c r="AT31" s="349"/>
    </row>
    <row r="32" spans="1:46" ht="18" customHeight="1" x14ac:dyDescent="0.3">
      <c r="A32" s="346">
        <v>24</v>
      </c>
      <c r="B32" s="319" t="s">
        <v>599</v>
      </c>
      <c r="C32" s="284">
        <v>5748101983</v>
      </c>
      <c r="D32" s="302">
        <v>57481019830</v>
      </c>
      <c r="E32" s="346"/>
      <c r="F32" s="66">
        <v>44136</v>
      </c>
      <c r="G32" s="66">
        <v>44500</v>
      </c>
      <c r="H32" s="336">
        <v>100000</v>
      </c>
      <c r="I32" s="336">
        <f>H32*0.1</f>
        <v>10000</v>
      </c>
      <c r="J32" s="336">
        <f>SUM(H32:I32)</f>
        <v>110000</v>
      </c>
      <c r="K32" s="66" t="s">
        <v>70</v>
      </c>
      <c r="L32" s="289">
        <v>25</v>
      </c>
      <c r="M32" s="290">
        <v>25</v>
      </c>
      <c r="N32" s="350"/>
      <c r="O32" s="278">
        <v>44216</v>
      </c>
      <c r="P32" s="279">
        <v>44223</v>
      </c>
      <c r="Q32" s="278">
        <v>44246</v>
      </c>
      <c r="R32" s="277">
        <v>44273</v>
      </c>
      <c r="S32" s="278">
        <v>44274</v>
      </c>
      <c r="T32" s="279">
        <v>44284</v>
      </c>
      <c r="U32" s="278">
        <v>44306</v>
      </c>
      <c r="V32" s="279">
        <v>44314</v>
      </c>
      <c r="W32" s="278"/>
      <c r="X32" s="279"/>
      <c r="Y32" s="278"/>
      <c r="Z32" s="279"/>
      <c r="AA32" s="278"/>
      <c r="AB32" s="279"/>
      <c r="AC32" s="278"/>
      <c r="AD32" s="279"/>
      <c r="AE32" s="278"/>
      <c r="AF32" s="279"/>
      <c r="AG32" s="278"/>
      <c r="AH32" s="279"/>
      <c r="AI32" s="278"/>
      <c r="AJ32" s="279"/>
      <c r="AK32" s="278"/>
      <c r="AL32" s="279"/>
      <c r="AM32" s="66">
        <f>IFERROR(
IF(M32="해지","제외",
IF(M32=25,DATE(AO$2,AO$3,DAY(M32)),
IF(M32=31,EOMONTH(DATE(AO$2,AO$3,29),0),
DATE(AO$2,AO$3+1,DAY(M32))))),"예외")</f>
        <v>44341</v>
      </c>
      <c r="AN32" s="346" t="str">
        <f>IFERROR(CHOOSE(WEEKDAY(AM32,2),"월","화","수","목","금","토","일"),"")</f>
        <v>화</v>
      </c>
      <c r="AO32" s="346"/>
      <c r="AP32" s="346"/>
      <c r="AQ32" s="346"/>
      <c r="AR32" s="346"/>
      <c r="AS32" s="372"/>
      <c r="AT32" s="346"/>
    </row>
    <row r="33" spans="1:46" ht="18" customHeight="1" x14ac:dyDescent="0.3">
      <c r="A33" s="346">
        <v>25</v>
      </c>
      <c r="B33" s="319" t="s">
        <v>37</v>
      </c>
      <c r="C33" s="284">
        <v>2101710952</v>
      </c>
      <c r="D33" s="302">
        <v>21017109520</v>
      </c>
      <c r="E33" s="346"/>
      <c r="F33" s="66">
        <v>42522</v>
      </c>
      <c r="G33" s="66">
        <v>42886</v>
      </c>
      <c r="H33" s="336">
        <v>50000</v>
      </c>
      <c r="I33" s="336">
        <f>H33*0.1</f>
        <v>5000</v>
      </c>
      <c r="J33" s="336">
        <f>SUM(H33:I33)</f>
        <v>55000</v>
      </c>
      <c r="K33" s="337" t="s">
        <v>474</v>
      </c>
      <c r="L33" s="289">
        <v>25</v>
      </c>
      <c r="M33" s="287">
        <v>25</v>
      </c>
      <c r="N33" s="351"/>
      <c r="O33" s="278">
        <v>44216</v>
      </c>
      <c r="P33" s="279">
        <v>44217</v>
      </c>
      <c r="Q33" s="278">
        <v>44246</v>
      </c>
      <c r="R33" s="277">
        <v>44267</v>
      </c>
      <c r="S33" s="278">
        <v>44274</v>
      </c>
      <c r="T33" s="277">
        <v>44267</v>
      </c>
      <c r="U33" s="278">
        <v>44306</v>
      </c>
      <c r="V33" s="279">
        <v>44313</v>
      </c>
      <c r="W33" s="278"/>
      <c r="X33" s="279"/>
      <c r="Y33" s="278"/>
      <c r="Z33" s="279"/>
      <c r="AA33" s="278"/>
      <c r="AB33" s="279"/>
      <c r="AC33" s="278"/>
      <c r="AD33" s="279"/>
      <c r="AE33" s="278"/>
      <c r="AF33" s="279"/>
      <c r="AG33" s="278"/>
      <c r="AH33" s="279"/>
      <c r="AI33" s="278"/>
      <c r="AJ33" s="279"/>
      <c r="AK33" s="278"/>
      <c r="AL33" s="279"/>
      <c r="AM33" s="66">
        <f>IFERROR(
IF(M33="해지","제외",
IF(M33=25,DATE(AO$2,AO$3,DAY(M33)),
IF(M33=31,EOMONTH(DATE(AO$2,AO$3,29),0),
DATE(AO$2,AO$3+1,DAY(M33))))),"예외")</f>
        <v>44341</v>
      </c>
      <c r="AN33" s="346" t="str">
        <f>IFERROR(CHOOSE(WEEKDAY(AM33,2),"월","화","수","목","금","토","일"),"")</f>
        <v>화</v>
      </c>
      <c r="AO33" s="346"/>
      <c r="AP33" s="346"/>
      <c r="AQ33" s="346"/>
      <c r="AR33" s="346"/>
      <c r="AS33" s="372"/>
      <c r="AT33" s="346"/>
    </row>
    <row r="34" spans="1:46" ht="18" customHeight="1" x14ac:dyDescent="0.3">
      <c r="A34" s="346">
        <v>26</v>
      </c>
      <c r="B34" s="319" t="s">
        <v>589</v>
      </c>
      <c r="C34" s="284">
        <v>6160598681</v>
      </c>
      <c r="D34" s="302">
        <v>61605986810</v>
      </c>
      <c r="E34" s="346"/>
      <c r="F34" s="66">
        <v>0</v>
      </c>
      <c r="G34" s="66">
        <v>0</v>
      </c>
      <c r="H34" s="347">
        <v>100000</v>
      </c>
      <c r="I34" s="347">
        <f>H34*0.1</f>
        <v>10000</v>
      </c>
      <c r="J34" s="347">
        <f>SUM(H34:I34)</f>
        <v>110000</v>
      </c>
      <c r="K34" s="337" t="s">
        <v>474</v>
      </c>
      <c r="L34" s="289">
        <v>25</v>
      </c>
      <c r="M34" s="287">
        <v>25</v>
      </c>
      <c r="N34" s="312" t="s">
        <v>598</v>
      </c>
      <c r="O34" s="278">
        <v>44216</v>
      </c>
      <c r="P34" s="279">
        <v>44217</v>
      </c>
      <c r="Q34" s="278">
        <v>44246</v>
      </c>
      <c r="R34" s="279">
        <v>44249</v>
      </c>
      <c r="S34" s="278">
        <v>44274</v>
      </c>
      <c r="T34" s="279">
        <v>44278</v>
      </c>
      <c r="U34" s="278">
        <v>44306</v>
      </c>
      <c r="V34" s="279">
        <v>44313</v>
      </c>
      <c r="W34" s="278"/>
      <c r="X34" s="279"/>
      <c r="Y34" s="278"/>
      <c r="Z34" s="279"/>
      <c r="AA34" s="278"/>
      <c r="AB34" s="279"/>
      <c r="AC34" s="278"/>
      <c r="AD34" s="279"/>
      <c r="AE34" s="278"/>
      <c r="AF34" s="279"/>
      <c r="AG34" s="278"/>
      <c r="AH34" s="279"/>
      <c r="AI34" s="278"/>
      <c r="AJ34" s="279"/>
      <c r="AK34" s="278"/>
      <c r="AL34" s="279"/>
      <c r="AM34" s="66">
        <f>IFERROR(
IF(M34="해지","제외",
IF(M34=25,DATE(AO$2,AO$3,DAY(M34)),
IF(M34=31,EOMONTH(DATE(AO$2,AO$3,29),0),
DATE(AO$2,AO$3+1,DAY(M34))))),"예외")</f>
        <v>44341</v>
      </c>
      <c r="AN34" s="346" t="str">
        <f>IFERROR(CHOOSE(WEEKDAY(AM34,2),"월","화","수","목","금","토","일"),"")</f>
        <v>화</v>
      </c>
      <c r="AO34" s="346"/>
      <c r="AP34" s="346"/>
      <c r="AQ34" s="346"/>
      <c r="AR34" s="346"/>
      <c r="AS34" s="372"/>
      <c r="AT34" s="346"/>
    </row>
    <row r="35" spans="1:46" ht="18" customHeight="1" x14ac:dyDescent="0.3">
      <c r="A35" s="346">
        <v>27</v>
      </c>
      <c r="B35" s="319" t="s">
        <v>478</v>
      </c>
      <c r="C35" s="284">
        <v>2178134257</v>
      </c>
      <c r="D35" s="302">
        <v>21781342570</v>
      </c>
      <c r="E35" s="346"/>
      <c r="F35" s="66">
        <v>43491</v>
      </c>
      <c r="G35" s="66">
        <v>43855</v>
      </c>
      <c r="H35" s="347">
        <v>120000</v>
      </c>
      <c r="I35" s="347">
        <f>H35*0.1</f>
        <v>12000</v>
      </c>
      <c r="J35" s="347">
        <f>SUM(H35:I35)</f>
        <v>132000</v>
      </c>
      <c r="K35" s="337" t="s">
        <v>70</v>
      </c>
      <c r="L35" s="289">
        <v>25</v>
      </c>
      <c r="M35" s="290">
        <v>25</v>
      </c>
      <c r="N35" s="374"/>
      <c r="O35" s="278">
        <v>44216</v>
      </c>
      <c r="P35" s="279">
        <v>44223</v>
      </c>
      <c r="Q35" s="278">
        <v>44246</v>
      </c>
      <c r="R35" s="279">
        <v>44257</v>
      </c>
      <c r="S35" s="278">
        <v>44274</v>
      </c>
      <c r="T35" s="279">
        <v>44284</v>
      </c>
      <c r="U35" s="278">
        <v>44306</v>
      </c>
      <c r="V35" s="279">
        <v>44314</v>
      </c>
      <c r="W35" s="278"/>
      <c r="X35" s="279"/>
      <c r="Y35" s="278"/>
      <c r="Z35" s="279"/>
      <c r="AA35" s="278"/>
      <c r="AB35" s="279"/>
      <c r="AC35" s="278"/>
      <c r="AD35" s="279"/>
      <c r="AE35" s="278"/>
      <c r="AF35" s="279"/>
      <c r="AG35" s="278"/>
      <c r="AH35" s="279"/>
      <c r="AI35" s="278"/>
      <c r="AJ35" s="279"/>
      <c r="AK35" s="278"/>
      <c r="AL35" s="279"/>
      <c r="AM35" s="66">
        <f>IFERROR(
IF(M35="해지","제외",
IF(M35=25,DATE(AO$2,AO$3,DAY(M35)),
IF(M35=31,EOMONTH(DATE(AO$2,AO$3,29),0),
DATE(AO$2,AO$3+1,DAY(M35))))),"예외")</f>
        <v>44341</v>
      </c>
      <c r="AN35" s="346" t="str">
        <f>IFERROR(CHOOSE(WEEKDAY(AM35,2),"월","화","수","목","금","토","일"),"")</f>
        <v>화</v>
      </c>
      <c r="AO35" s="346"/>
      <c r="AP35" s="346"/>
      <c r="AQ35" s="346"/>
      <c r="AR35" s="346"/>
      <c r="AS35" s="346"/>
      <c r="AT35" s="346"/>
    </row>
    <row r="36" spans="1:46" ht="18" customHeight="1" x14ac:dyDescent="0.3">
      <c r="A36" s="373">
        <v>28</v>
      </c>
      <c r="B36" s="319" t="s">
        <v>17</v>
      </c>
      <c r="C36" s="284">
        <v>4079900433</v>
      </c>
      <c r="D36" s="302">
        <v>40799004330</v>
      </c>
      <c r="E36" s="373"/>
      <c r="F36" s="66">
        <v>43004</v>
      </c>
      <c r="G36" s="66">
        <v>43733</v>
      </c>
      <c r="H36" s="375">
        <v>400000</v>
      </c>
      <c r="I36" s="375">
        <f>H36*0.1</f>
        <v>40000</v>
      </c>
      <c r="J36" s="375">
        <f>SUM(H36:I36)</f>
        <v>440000</v>
      </c>
      <c r="K36" s="337" t="s">
        <v>70</v>
      </c>
      <c r="L36" s="289">
        <v>25</v>
      </c>
      <c r="M36" s="290">
        <v>5</v>
      </c>
      <c r="N36" s="374"/>
      <c r="O36" s="278">
        <v>44216</v>
      </c>
      <c r="P36" s="279">
        <v>44223</v>
      </c>
      <c r="Q36" s="278">
        <v>44246</v>
      </c>
      <c r="R36" s="279">
        <v>44257</v>
      </c>
      <c r="S36" s="278">
        <v>44274</v>
      </c>
      <c r="T36" s="279">
        <v>44284</v>
      </c>
      <c r="U36" s="278">
        <v>44306</v>
      </c>
      <c r="V36" s="279">
        <v>44314</v>
      </c>
      <c r="W36" s="278"/>
      <c r="X36" s="279"/>
      <c r="Y36" s="278"/>
      <c r="Z36" s="279"/>
      <c r="AA36" s="278"/>
      <c r="AB36" s="279"/>
      <c r="AC36" s="278"/>
      <c r="AD36" s="279"/>
      <c r="AE36" s="278"/>
      <c r="AF36" s="279"/>
      <c r="AG36" s="278"/>
      <c r="AH36" s="279"/>
      <c r="AI36" s="278"/>
      <c r="AJ36" s="279"/>
      <c r="AK36" s="278"/>
      <c r="AL36" s="279"/>
      <c r="AM36" s="66">
        <f>IFERROR(
IF(M36="해지","제외",
IF(M36=25,DATE(AO$2,AO$3,DAY(M36)),
IF(M36=31,EOMONTH(DATE(AO$2,AO$3,29),0),
DATE(AO$2,AO$3+1,DAY(M36))))),"예외")</f>
        <v>44352</v>
      </c>
      <c r="AN36" s="373" t="str">
        <f>IFERROR(CHOOSE(WEEKDAY(AM36,2),"월","화","수","목","금","토","일"),"")</f>
        <v>토</v>
      </c>
      <c r="AO36" s="373"/>
      <c r="AP36" s="373"/>
      <c r="AQ36" s="373"/>
      <c r="AR36" s="373"/>
      <c r="AS36" s="373"/>
      <c r="AT36" s="373"/>
    </row>
    <row r="37" spans="1:46" s="348" customFormat="1" ht="18" customHeight="1" x14ac:dyDescent="0.3">
      <c r="A37" s="349">
        <v>29</v>
      </c>
      <c r="B37" s="319" t="s">
        <v>44</v>
      </c>
      <c r="C37" s="284">
        <v>2098146752</v>
      </c>
      <c r="D37" s="302">
        <v>20981467520</v>
      </c>
      <c r="E37" s="349"/>
      <c r="F37" s="66">
        <v>43070</v>
      </c>
      <c r="G37" s="66">
        <v>43465</v>
      </c>
      <c r="H37" s="347">
        <v>100000</v>
      </c>
      <c r="I37" s="347">
        <f>H37*0.1</f>
        <v>10000</v>
      </c>
      <c r="J37" s="347">
        <f>SUM(H37:I37)</f>
        <v>110000</v>
      </c>
      <c r="K37" s="66" t="s">
        <v>70</v>
      </c>
      <c r="L37" s="289">
        <v>31</v>
      </c>
      <c r="M37" s="287">
        <v>31</v>
      </c>
      <c r="N37" s="375"/>
      <c r="O37" s="278">
        <v>44216</v>
      </c>
      <c r="P37" s="279">
        <v>44230</v>
      </c>
      <c r="Q37" s="278">
        <v>44246</v>
      </c>
      <c r="R37" s="279">
        <v>44259</v>
      </c>
      <c r="S37" s="278">
        <v>44274</v>
      </c>
      <c r="T37" s="279">
        <v>44287</v>
      </c>
      <c r="U37" s="278">
        <v>44306</v>
      </c>
      <c r="V37" s="279">
        <v>44319</v>
      </c>
      <c r="W37" s="278"/>
      <c r="X37" s="279"/>
      <c r="Y37" s="278"/>
      <c r="Z37" s="279"/>
      <c r="AA37" s="278"/>
      <c r="AB37" s="279"/>
      <c r="AC37" s="278"/>
      <c r="AD37" s="279"/>
      <c r="AE37" s="278"/>
      <c r="AF37" s="279"/>
      <c r="AG37" s="278"/>
      <c r="AH37" s="279"/>
      <c r="AI37" s="278"/>
      <c r="AJ37" s="279"/>
      <c r="AK37" s="278"/>
      <c r="AL37" s="279"/>
      <c r="AM37" s="66">
        <f>IFERROR(
IF(M37="해지","제외",
IF(M37=25,DATE(AO$2,AO$3,DAY(M37)),
IF(M37=31,EOMONTH(DATE(AO$2,AO$3,29),0),
DATE(AO$2,AO$3+1,DAY(M37))))),"예외")</f>
        <v>44347</v>
      </c>
      <c r="AN37" s="349" t="str">
        <f>IFERROR(CHOOSE(WEEKDAY(AM37,2),"월","화","수","목","금","토","일"),"")</f>
        <v>월</v>
      </c>
      <c r="AO37" s="349"/>
      <c r="AP37" s="349"/>
      <c r="AQ37" s="349"/>
      <c r="AR37" s="349"/>
      <c r="AS37" s="349"/>
      <c r="AT37" s="349"/>
    </row>
    <row r="38" spans="1:46" ht="18" customHeight="1" x14ac:dyDescent="0.3">
      <c r="A38" s="352">
        <v>32</v>
      </c>
      <c r="B38" s="353" t="s">
        <v>480</v>
      </c>
      <c r="C38" s="284">
        <v>7488000706</v>
      </c>
      <c r="D38" s="354">
        <v>74880007060</v>
      </c>
      <c r="E38" s="352"/>
      <c r="F38" s="66">
        <v>42917</v>
      </c>
      <c r="G38" s="66">
        <v>43281</v>
      </c>
      <c r="H38" s="336">
        <v>150000</v>
      </c>
      <c r="I38" s="336">
        <f>H38*0.1</f>
        <v>15000</v>
      </c>
      <c r="J38" s="336">
        <f>SUM(H38:I38)</f>
        <v>165000</v>
      </c>
      <c r="K38" s="66" t="s">
        <v>70</v>
      </c>
      <c r="L38" s="289">
        <v>31</v>
      </c>
      <c r="M38" s="287">
        <v>31</v>
      </c>
      <c r="N38" s="375"/>
      <c r="O38" s="278">
        <v>44216</v>
      </c>
      <c r="P38" s="279">
        <v>44230</v>
      </c>
      <c r="Q38" s="278">
        <v>44246</v>
      </c>
      <c r="R38" s="279">
        <v>44259</v>
      </c>
      <c r="S38" s="278">
        <v>44274</v>
      </c>
      <c r="T38" s="279">
        <v>44288</v>
      </c>
      <c r="U38" s="278">
        <v>44306</v>
      </c>
      <c r="V38" s="279">
        <v>44322</v>
      </c>
      <c r="W38" s="278"/>
      <c r="X38" s="279"/>
      <c r="Y38" s="278"/>
      <c r="Z38" s="279"/>
      <c r="AA38" s="278"/>
      <c r="AB38" s="279"/>
      <c r="AC38" s="278"/>
      <c r="AD38" s="279"/>
      <c r="AE38" s="278"/>
      <c r="AF38" s="279"/>
      <c r="AG38" s="278"/>
      <c r="AH38" s="279"/>
      <c r="AI38" s="278"/>
      <c r="AJ38" s="279"/>
      <c r="AK38" s="278"/>
      <c r="AL38" s="279"/>
      <c r="AM38" s="355">
        <f>IFERROR(
IF(M38="해지","제외",
IF(M38=25,DATE(AO$2,AO$3,DAY(M38)),
IF(M38=31,EOMONTH(DATE(AO$2,AO$3,29),0),
DATE(AO$2,AO$3+1,DAY(M38))))),"예외")</f>
        <v>44347</v>
      </c>
      <c r="AN38" s="352" t="str">
        <f>IFERROR(CHOOSE(WEEKDAY(AM38,2),"월","화","수","목","금","토","일"),"")</f>
        <v>월</v>
      </c>
      <c r="AO38" s="352"/>
      <c r="AP38" s="352"/>
      <c r="AQ38" s="352"/>
      <c r="AR38" s="352"/>
      <c r="AS38" s="352"/>
      <c r="AT38" s="352"/>
    </row>
    <row r="39" spans="1:46" ht="18" customHeight="1" x14ac:dyDescent="0.3">
      <c r="A39" s="346">
        <v>33</v>
      </c>
      <c r="B39" s="319" t="s">
        <v>481</v>
      </c>
      <c r="C39" s="284">
        <v>2258600020</v>
      </c>
      <c r="D39" s="302">
        <v>22586000200</v>
      </c>
      <c r="E39" s="346"/>
      <c r="F39" s="66">
        <v>43586</v>
      </c>
      <c r="G39" s="66">
        <v>43951</v>
      </c>
      <c r="H39" s="347">
        <v>100000</v>
      </c>
      <c r="I39" s="347">
        <f>H39*0.1</f>
        <v>10000</v>
      </c>
      <c r="J39" s="347">
        <f>SUM(H39:I39)</f>
        <v>110000</v>
      </c>
      <c r="K39" s="66" t="s">
        <v>70</v>
      </c>
      <c r="L39" s="289">
        <v>31</v>
      </c>
      <c r="M39" s="287">
        <v>31</v>
      </c>
      <c r="N39" s="347"/>
      <c r="O39" s="278">
        <v>44216</v>
      </c>
      <c r="P39" s="279">
        <v>44230</v>
      </c>
      <c r="Q39" s="278">
        <v>44246</v>
      </c>
      <c r="R39" s="279">
        <v>44259</v>
      </c>
      <c r="S39" s="278">
        <v>44274</v>
      </c>
      <c r="T39" s="279">
        <v>44288</v>
      </c>
      <c r="U39" s="278">
        <v>44306</v>
      </c>
      <c r="V39" s="279">
        <v>44322</v>
      </c>
      <c r="W39" s="278"/>
      <c r="X39" s="279"/>
      <c r="Y39" s="278"/>
      <c r="Z39" s="279"/>
      <c r="AA39" s="278"/>
      <c r="AB39" s="279"/>
      <c r="AC39" s="278"/>
      <c r="AD39" s="279"/>
      <c r="AE39" s="278"/>
      <c r="AF39" s="279"/>
      <c r="AG39" s="278"/>
      <c r="AH39" s="279"/>
      <c r="AI39" s="278"/>
      <c r="AJ39" s="279"/>
      <c r="AK39" s="278"/>
      <c r="AL39" s="279"/>
      <c r="AM39" s="66">
        <f>IFERROR(
IF(M39="해지","제외",
IF(M39=25,DATE(AO$2,AO$3,DAY(M39)),
IF(M39=31,EOMONTH(DATE(AO$2,AO$3,29),0),
DATE(AO$2,AO$3+1,DAY(M39))))),"예외")</f>
        <v>44347</v>
      </c>
      <c r="AN39" s="346" t="str">
        <f>IFERROR(CHOOSE(WEEKDAY(AM39,2),"월","화","수","목","금","토","일"),"")</f>
        <v>월</v>
      </c>
      <c r="AO39" s="346"/>
      <c r="AP39" s="346"/>
      <c r="AQ39" s="346"/>
      <c r="AR39" s="346"/>
      <c r="AS39" s="373"/>
      <c r="AT39" s="346"/>
    </row>
    <row r="40" spans="1:46" ht="18" customHeight="1" x14ac:dyDescent="0.3">
      <c r="A40" s="331">
        <v>34</v>
      </c>
      <c r="B40" s="319" t="s">
        <v>591</v>
      </c>
      <c r="C40" s="284">
        <v>2326500187</v>
      </c>
      <c r="D40" s="302">
        <v>23265001870</v>
      </c>
      <c r="E40" s="331"/>
      <c r="F40" s="66">
        <v>44075</v>
      </c>
      <c r="G40" s="66">
        <v>44438</v>
      </c>
      <c r="H40" s="336">
        <v>100000</v>
      </c>
      <c r="I40" s="336">
        <f>H40*0.1</f>
        <v>10000</v>
      </c>
      <c r="J40" s="336">
        <f>SUM(H40:I40)</f>
        <v>110000</v>
      </c>
      <c r="K40" s="66" t="s">
        <v>70</v>
      </c>
      <c r="L40" s="289">
        <v>31</v>
      </c>
      <c r="M40" s="287">
        <v>31</v>
      </c>
      <c r="N40" s="347"/>
      <c r="O40" s="278">
        <v>44216</v>
      </c>
      <c r="P40" s="279">
        <v>44230</v>
      </c>
      <c r="Q40" s="278">
        <v>44246</v>
      </c>
      <c r="R40" s="279">
        <v>44259</v>
      </c>
      <c r="S40" s="278">
        <v>44274</v>
      </c>
      <c r="T40" s="279">
        <v>44288</v>
      </c>
      <c r="U40" s="278">
        <v>44306</v>
      </c>
      <c r="V40" s="279">
        <v>44322</v>
      </c>
      <c r="W40" s="278"/>
      <c r="X40" s="279"/>
      <c r="Y40" s="278"/>
      <c r="Z40" s="279"/>
      <c r="AA40" s="278"/>
      <c r="AB40" s="279"/>
      <c r="AC40" s="278"/>
      <c r="AD40" s="279"/>
      <c r="AE40" s="278"/>
      <c r="AF40" s="279"/>
      <c r="AG40" s="278"/>
      <c r="AH40" s="279"/>
      <c r="AI40" s="278"/>
      <c r="AJ40" s="279"/>
      <c r="AK40" s="278"/>
      <c r="AL40" s="279"/>
      <c r="AM40" s="66">
        <f>IFERROR(
IF(M40="해지","제외",
IF(M40=25,DATE(AO$2,AO$3,DAY(M40)),
IF(M40=31,EOMONTH(DATE(AO$2,AO$3,29),0),
DATE(AO$2,AO$3+1,DAY(M40))))),"예외")</f>
        <v>44347</v>
      </c>
      <c r="AN40" s="331" t="str">
        <f>IFERROR(CHOOSE(WEEKDAY(AM40,2),"월","화","수","목","금","토","일"),"")</f>
        <v>월</v>
      </c>
      <c r="AO40" s="346"/>
      <c r="AP40" s="346"/>
      <c r="AQ40" s="346"/>
      <c r="AR40" s="346"/>
      <c r="AS40" s="373"/>
      <c r="AT40" s="346"/>
    </row>
    <row r="41" spans="1:46" s="348" customFormat="1" ht="18" customHeight="1" x14ac:dyDescent="0.3">
      <c r="A41" s="373">
        <v>49</v>
      </c>
      <c r="B41" s="319" t="s">
        <v>608</v>
      </c>
      <c r="C41" s="323">
        <v>3870200987</v>
      </c>
      <c r="D41" s="302">
        <v>38702009870</v>
      </c>
      <c r="E41" s="373"/>
      <c r="F41" s="66">
        <v>44299</v>
      </c>
      <c r="G41" s="66">
        <v>44298</v>
      </c>
      <c r="H41" s="375">
        <v>100000</v>
      </c>
      <c r="I41" s="375">
        <f>H41*0.1</f>
        <v>10000</v>
      </c>
      <c r="J41" s="375">
        <f>SUM(H41:I41)</f>
        <v>110000</v>
      </c>
      <c r="K41" s="66" t="s">
        <v>70</v>
      </c>
      <c r="L41" s="289">
        <v>31</v>
      </c>
      <c r="M41" s="287">
        <v>31</v>
      </c>
      <c r="N41" s="375"/>
      <c r="O41" s="338"/>
      <c r="P41" s="339"/>
      <c r="Q41" s="338"/>
      <c r="R41" s="339"/>
      <c r="S41" s="338"/>
      <c r="T41" s="339"/>
      <c r="U41" s="278">
        <v>44306</v>
      </c>
      <c r="V41" s="279">
        <v>44322</v>
      </c>
      <c r="W41" s="278"/>
      <c r="X41" s="279"/>
      <c r="Y41" s="278"/>
      <c r="Z41" s="279"/>
      <c r="AA41" s="278"/>
      <c r="AB41" s="279"/>
      <c r="AC41" s="278"/>
      <c r="AD41" s="279"/>
      <c r="AE41" s="278"/>
      <c r="AF41" s="279"/>
      <c r="AG41" s="278"/>
      <c r="AH41" s="279"/>
      <c r="AI41" s="278"/>
      <c r="AJ41" s="279"/>
      <c r="AK41" s="278"/>
      <c r="AL41" s="279"/>
      <c r="AM41" s="66">
        <f>IFERROR(
IF(M41="해지","제외",
IF(M41=25,DATE(AO$2,AO$3,DAY(M41)),
IF(M41=31,EOMONTH(DATE(AO$2,AO$3,29),0),
DATE(AO$2,AO$3+1,DAY(M41))))),"예외")</f>
        <v>44347</v>
      </c>
      <c r="AN41" s="373" t="str">
        <f>IFERROR(CHOOSE(WEEKDAY(AM41,2),"월","화","수","목","금","토","일"),"")</f>
        <v>월</v>
      </c>
      <c r="AO41" s="121"/>
      <c r="AP41" s="121"/>
      <c r="AQ41" s="121"/>
      <c r="AR41" s="121"/>
      <c r="AS41" s="121"/>
      <c r="AT41" s="121"/>
    </row>
    <row r="42" spans="1:46" s="348" customFormat="1" ht="18" customHeight="1" x14ac:dyDescent="0.3">
      <c r="A42" s="346">
        <v>50</v>
      </c>
      <c r="B42" s="319" t="s">
        <v>609</v>
      </c>
      <c r="C42" s="323">
        <v>2108174898</v>
      </c>
      <c r="D42" s="302">
        <v>21081748980</v>
      </c>
      <c r="E42" s="346"/>
      <c r="F42" s="66">
        <v>44305</v>
      </c>
      <c r="G42" s="66">
        <v>44669</v>
      </c>
      <c r="H42" s="347">
        <v>150000</v>
      </c>
      <c r="I42" s="347">
        <f>H42*0.1</f>
        <v>15000</v>
      </c>
      <c r="J42" s="347">
        <f>SUM(H42:I42)</f>
        <v>165000</v>
      </c>
      <c r="K42" s="66" t="s">
        <v>70</v>
      </c>
      <c r="L42" s="289">
        <v>31</v>
      </c>
      <c r="M42" s="287">
        <v>31</v>
      </c>
      <c r="N42" s="375"/>
      <c r="O42" s="338"/>
      <c r="P42" s="339"/>
      <c r="Q42" s="338"/>
      <c r="R42" s="339"/>
      <c r="S42" s="338"/>
      <c r="T42" s="339"/>
      <c r="U42" s="278">
        <v>44306</v>
      </c>
      <c r="V42" s="279">
        <v>44322</v>
      </c>
      <c r="W42" s="278"/>
      <c r="X42" s="279"/>
      <c r="Y42" s="278"/>
      <c r="Z42" s="279"/>
      <c r="AA42" s="278"/>
      <c r="AB42" s="279"/>
      <c r="AC42" s="278"/>
      <c r="AD42" s="279"/>
      <c r="AE42" s="278"/>
      <c r="AF42" s="279"/>
      <c r="AG42" s="278"/>
      <c r="AH42" s="279"/>
      <c r="AI42" s="278"/>
      <c r="AJ42" s="279"/>
      <c r="AK42" s="278"/>
      <c r="AL42" s="279"/>
      <c r="AM42" s="66">
        <f>IFERROR(
IF(M42="해지","제외",
IF(M42=25,DATE(AO$2,AO$3,DAY(M42)),
IF(M42=31,EOMONTH(DATE(AO$2,AO$3,29),0),
DATE(AO$2,AO$3+1,DAY(M42))))),"예외")</f>
        <v>44347</v>
      </c>
      <c r="AN42" s="346" t="str">
        <f>IFERROR(CHOOSE(WEEKDAY(AM42,2),"월","화","수","목","금","토","일"),"")</f>
        <v>월</v>
      </c>
      <c r="AO42" s="121"/>
      <c r="AP42" s="121"/>
      <c r="AQ42" s="121"/>
      <c r="AR42" s="121"/>
      <c r="AS42" s="121"/>
      <c r="AT42" s="121"/>
    </row>
    <row r="43" spans="1:46" s="348" customFormat="1" ht="18" customHeight="1" x14ac:dyDescent="0.3">
      <c r="A43" s="346">
        <v>52</v>
      </c>
      <c r="B43" s="319" t="s">
        <v>614</v>
      </c>
      <c r="C43" s="284">
        <v>2170571205</v>
      </c>
      <c r="D43" s="371">
        <v>91101294751</v>
      </c>
      <c r="E43" s="346"/>
      <c r="F43" s="66">
        <v>44326</v>
      </c>
      <c r="G43" s="66">
        <v>44323</v>
      </c>
      <c r="H43" s="347">
        <v>100000</v>
      </c>
      <c r="I43" s="347">
        <f>H43*0.1</f>
        <v>10000</v>
      </c>
      <c r="J43" s="347">
        <f>SUM(H43:I43)</f>
        <v>110000</v>
      </c>
      <c r="K43" s="66" t="s">
        <v>70</v>
      </c>
      <c r="L43" s="289">
        <v>31</v>
      </c>
      <c r="M43" s="287">
        <v>31</v>
      </c>
      <c r="N43" s="375"/>
      <c r="O43" s="338"/>
      <c r="P43" s="339"/>
      <c r="Q43" s="338"/>
      <c r="R43" s="339"/>
      <c r="S43" s="338"/>
      <c r="T43" s="339"/>
      <c r="U43" s="338"/>
      <c r="V43" s="339"/>
      <c r="W43" s="278"/>
      <c r="X43" s="279"/>
      <c r="Y43" s="278"/>
      <c r="Z43" s="279"/>
      <c r="AA43" s="278"/>
      <c r="AB43" s="279"/>
      <c r="AC43" s="278"/>
      <c r="AD43" s="279"/>
      <c r="AE43" s="278"/>
      <c r="AF43" s="279"/>
      <c r="AG43" s="278"/>
      <c r="AH43" s="279"/>
      <c r="AI43" s="278"/>
      <c r="AJ43" s="279"/>
      <c r="AK43" s="278"/>
      <c r="AL43" s="279"/>
      <c r="AM43" s="66">
        <f>IFERROR(
IF(M43="해지","제외",
IF(M43=25,DATE(AO$2,AO$3,DAY(M43)),
IF(M43=31,EOMONTH(DATE(AO$2,AO$3,29),0),
DATE(AO$2,AO$3+1,DAY(M43))))),"예외")</f>
        <v>44347</v>
      </c>
      <c r="AN43" s="346" t="str">
        <f>IFERROR(CHOOSE(WEEKDAY(AM43,2),"월","화","수","목","금","토","일"),"")</f>
        <v>월</v>
      </c>
      <c r="AO43" s="121"/>
      <c r="AP43" s="121"/>
      <c r="AQ43" s="121"/>
      <c r="AR43" s="121"/>
      <c r="AS43" s="121"/>
      <c r="AT43" s="121"/>
    </row>
    <row r="44" spans="1:46" ht="18" customHeight="1" x14ac:dyDescent="0.3">
      <c r="A44" s="331">
        <v>30</v>
      </c>
      <c r="B44" s="319" t="s">
        <v>584</v>
      </c>
      <c r="C44" s="284">
        <v>5010492826</v>
      </c>
      <c r="D44" s="302">
        <v>50104928260</v>
      </c>
      <c r="E44" s="331"/>
      <c r="F44" s="66">
        <v>44013</v>
      </c>
      <c r="G44" s="66">
        <v>44377</v>
      </c>
      <c r="H44" s="336">
        <v>100000</v>
      </c>
      <c r="I44" s="336">
        <f>H44*0.1</f>
        <v>10000</v>
      </c>
      <c r="J44" s="336">
        <f>SUM(H44:I44)</f>
        <v>110000</v>
      </c>
      <c r="K44" s="66" t="s">
        <v>70</v>
      </c>
      <c r="L44" s="289">
        <v>31</v>
      </c>
      <c r="M44" s="287">
        <v>5</v>
      </c>
      <c r="N44" s="375"/>
      <c r="O44" s="278">
        <v>44216</v>
      </c>
      <c r="P44" s="279">
        <v>44230</v>
      </c>
      <c r="Q44" s="278">
        <v>44246</v>
      </c>
      <c r="R44" s="279">
        <v>44259</v>
      </c>
      <c r="S44" s="278">
        <v>44274</v>
      </c>
      <c r="T44" s="279">
        <v>44287</v>
      </c>
      <c r="U44" s="278">
        <v>44306</v>
      </c>
      <c r="V44" s="279">
        <v>44319</v>
      </c>
      <c r="W44" s="278"/>
      <c r="X44" s="279"/>
      <c r="Y44" s="278"/>
      <c r="Z44" s="279"/>
      <c r="AA44" s="278"/>
      <c r="AB44" s="279"/>
      <c r="AC44" s="278"/>
      <c r="AD44" s="279"/>
      <c r="AE44" s="278"/>
      <c r="AF44" s="279"/>
      <c r="AG44" s="278"/>
      <c r="AH44" s="279"/>
      <c r="AI44" s="278"/>
      <c r="AJ44" s="279"/>
      <c r="AK44" s="278"/>
      <c r="AL44" s="279"/>
      <c r="AM44" s="66">
        <f>IFERROR(
IF(M44="해지","제외",
IF(M44=25,DATE(AO$2,AO$3,DAY(M44)),
IF(M44=31,EOMONTH(DATE(AO$2,AO$3,29),0),
DATE(AO$2,AO$3+1,DAY(M44))))),"예외")</f>
        <v>44352</v>
      </c>
      <c r="AN44" s="331" t="str">
        <f>IFERROR(CHOOSE(WEEKDAY(AM44,2),"월","화","수","목","금","토","일"),"")</f>
        <v>토</v>
      </c>
      <c r="AO44" s="349"/>
      <c r="AP44" s="349"/>
      <c r="AQ44" s="349"/>
      <c r="AR44" s="349"/>
      <c r="AS44" s="349"/>
      <c r="AT44" s="349"/>
    </row>
    <row r="45" spans="1:46" ht="18" customHeight="1" x14ac:dyDescent="0.3">
      <c r="A45" s="331">
        <v>31</v>
      </c>
      <c r="B45" s="319" t="s">
        <v>590</v>
      </c>
      <c r="C45" s="284">
        <v>2377700230</v>
      </c>
      <c r="D45" s="302">
        <v>23777002300</v>
      </c>
      <c r="E45" s="331"/>
      <c r="F45" s="66">
        <v>44013</v>
      </c>
      <c r="G45" s="66">
        <v>44377</v>
      </c>
      <c r="H45" s="336">
        <v>100000</v>
      </c>
      <c r="I45" s="336">
        <f>H45*0.1</f>
        <v>10000</v>
      </c>
      <c r="J45" s="336">
        <f>SUM(H45:I45)</f>
        <v>110000</v>
      </c>
      <c r="K45" s="66" t="s">
        <v>70</v>
      </c>
      <c r="L45" s="289">
        <v>31</v>
      </c>
      <c r="M45" s="287">
        <v>5</v>
      </c>
      <c r="N45" s="347"/>
      <c r="O45" s="278">
        <v>44216</v>
      </c>
      <c r="P45" s="279">
        <v>44230</v>
      </c>
      <c r="Q45" s="278">
        <v>44246</v>
      </c>
      <c r="R45" s="279">
        <v>44259</v>
      </c>
      <c r="S45" s="278">
        <v>44274</v>
      </c>
      <c r="T45" s="279">
        <v>44287</v>
      </c>
      <c r="U45" s="278">
        <v>44306</v>
      </c>
      <c r="V45" s="279">
        <v>44319</v>
      </c>
      <c r="W45" s="278"/>
      <c r="X45" s="279"/>
      <c r="Y45" s="278"/>
      <c r="Z45" s="279"/>
      <c r="AA45" s="278"/>
      <c r="AB45" s="279"/>
      <c r="AC45" s="278"/>
      <c r="AD45" s="279"/>
      <c r="AE45" s="278"/>
      <c r="AF45" s="279"/>
      <c r="AG45" s="278"/>
      <c r="AH45" s="279"/>
      <c r="AI45" s="278"/>
      <c r="AJ45" s="279"/>
      <c r="AK45" s="278"/>
      <c r="AL45" s="279"/>
      <c r="AM45" s="66">
        <f>IFERROR(
IF(M45="해지","제외",
IF(M45=25,DATE(AO$2,AO$3,DAY(M45)),
IF(M45=31,EOMONTH(DATE(AO$2,AO$3,29),0),
DATE(AO$2,AO$3+1,DAY(M45))))),"예외")</f>
        <v>44352</v>
      </c>
      <c r="AN45" s="331" t="str">
        <f>IFERROR(CHOOSE(WEEKDAY(AM45,2),"월","화","수","목","금","토","일"),"")</f>
        <v>토</v>
      </c>
      <c r="AO45" s="331"/>
      <c r="AP45" s="331"/>
      <c r="AQ45" s="331"/>
      <c r="AR45" s="331"/>
      <c r="AS45" s="331"/>
      <c r="AT45" s="331"/>
    </row>
    <row r="46" spans="1:46" ht="18" customHeight="1" x14ac:dyDescent="0.3">
      <c r="A46" s="331">
        <v>35</v>
      </c>
      <c r="B46" s="319" t="s">
        <v>19</v>
      </c>
      <c r="C46" s="284">
        <v>2108164589</v>
      </c>
      <c r="D46" s="302">
        <v>21081645890</v>
      </c>
      <c r="E46" s="331"/>
      <c r="F46" s="66">
        <v>42675</v>
      </c>
      <c r="G46" s="66">
        <v>43404</v>
      </c>
      <c r="H46" s="336">
        <v>150000</v>
      </c>
      <c r="I46" s="336">
        <f>H46*0.1</f>
        <v>15000</v>
      </c>
      <c r="J46" s="336">
        <f>SUM(H46:I46)</f>
        <v>165000</v>
      </c>
      <c r="K46" s="337" t="s">
        <v>474</v>
      </c>
      <c r="L46" s="289">
        <v>31</v>
      </c>
      <c r="M46" s="287">
        <v>5</v>
      </c>
      <c r="N46" s="375"/>
      <c r="O46" s="278">
        <v>44216</v>
      </c>
      <c r="P46" s="279">
        <v>44225</v>
      </c>
      <c r="Q46" s="278">
        <v>44246</v>
      </c>
      <c r="R46" s="279">
        <v>44253</v>
      </c>
      <c r="S46" s="278">
        <v>44274</v>
      </c>
      <c r="T46" s="279">
        <v>44286</v>
      </c>
      <c r="U46" s="278">
        <v>44306</v>
      </c>
      <c r="V46" s="279">
        <v>44316</v>
      </c>
      <c r="W46" s="278"/>
      <c r="X46" s="279"/>
      <c r="Y46" s="278"/>
      <c r="Z46" s="279"/>
      <c r="AA46" s="278"/>
      <c r="AB46" s="279"/>
      <c r="AC46" s="278"/>
      <c r="AD46" s="279"/>
      <c r="AE46" s="278"/>
      <c r="AF46" s="279"/>
      <c r="AG46" s="278"/>
      <c r="AH46" s="279"/>
      <c r="AI46" s="278"/>
      <c r="AJ46" s="279"/>
      <c r="AK46" s="278"/>
      <c r="AL46" s="279"/>
      <c r="AM46" s="66">
        <f>IFERROR(
IF(M46="해지","제외",
IF(M46=25,DATE(AO$2,AO$3,DAY(M46)),
IF(M46=31,EOMONTH(DATE(AO$2,AO$3,29),0),
DATE(AO$2,AO$3+1,DAY(M46))))),"예외")</f>
        <v>44352</v>
      </c>
      <c r="AN46" s="331" t="str">
        <f>IFERROR(CHOOSE(WEEKDAY(AM46,2),"월","화","수","목","금","토","일"),"")</f>
        <v>토</v>
      </c>
      <c r="AO46" s="346"/>
      <c r="AP46" s="346"/>
      <c r="AQ46" s="346"/>
      <c r="AR46" s="346"/>
      <c r="AS46" s="349"/>
      <c r="AT46" s="346"/>
    </row>
    <row r="47" spans="1:46" ht="18" customHeight="1" x14ac:dyDescent="0.3">
      <c r="A47" s="346">
        <v>36</v>
      </c>
      <c r="B47" s="319" t="s">
        <v>21</v>
      </c>
      <c r="C47" s="284">
        <v>2100776601</v>
      </c>
      <c r="D47" s="302">
        <v>21007766010</v>
      </c>
      <c r="E47" s="346"/>
      <c r="F47" s="66">
        <v>43160</v>
      </c>
      <c r="G47" s="66">
        <v>43524</v>
      </c>
      <c r="H47" s="336">
        <v>100000</v>
      </c>
      <c r="I47" s="336">
        <f>H47*0.1</f>
        <v>10000</v>
      </c>
      <c r="J47" s="336">
        <f>SUM(H47:I47)</f>
        <v>110000</v>
      </c>
      <c r="K47" s="66" t="s">
        <v>70</v>
      </c>
      <c r="L47" s="289">
        <v>31</v>
      </c>
      <c r="M47" s="287">
        <v>7</v>
      </c>
      <c r="N47" s="347"/>
      <c r="O47" s="278">
        <v>44216</v>
      </c>
      <c r="P47" s="279">
        <v>44230</v>
      </c>
      <c r="Q47" s="278">
        <v>44246</v>
      </c>
      <c r="R47" s="279">
        <v>44259</v>
      </c>
      <c r="S47" s="278">
        <v>44274</v>
      </c>
      <c r="T47" s="279">
        <v>44288</v>
      </c>
      <c r="U47" s="278">
        <v>44306</v>
      </c>
      <c r="V47" s="279">
        <v>44322</v>
      </c>
      <c r="W47" s="278"/>
      <c r="X47" s="279"/>
      <c r="Y47" s="278"/>
      <c r="Z47" s="279"/>
      <c r="AA47" s="278"/>
      <c r="AB47" s="279"/>
      <c r="AC47" s="278"/>
      <c r="AD47" s="279"/>
      <c r="AE47" s="278"/>
      <c r="AF47" s="279"/>
      <c r="AG47" s="278"/>
      <c r="AH47" s="279"/>
      <c r="AI47" s="278"/>
      <c r="AJ47" s="279"/>
      <c r="AK47" s="278"/>
      <c r="AL47" s="279"/>
      <c r="AM47" s="66">
        <f>IFERROR(
IF(M47="해지","제외",
IF(M47=25,DATE(AO$2,AO$3,DAY(M47)),
IF(M47=31,EOMONTH(DATE(AO$2,AO$3,29),0),
DATE(AO$2,AO$3+1,DAY(M47))))),"예외")</f>
        <v>44354</v>
      </c>
      <c r="AN47" s="346" t="str">
        <f>IFERROR(CHOOSE(WEEKDAY(AM47,2),"월","화","수","목","금","토","일"),"")</f>
        <v>월</v>
      </c>
      <c r="AO47" s="349"/>
      <c r="AP47" s="349"/>
      <c r="AQ47" s="349"/>
      <c r="AR47" s="349"/>
      <c r="AS47" s="372"/>
      <c r="AT47" s="349"/>
    </row>
    <row r="48" spans="1:46" ht="18" customHeight="1" x14ac:dyDescent="0.3">
      <c r="A48" s="346">
        <v>37</v>
      </c>
      <c r="B48" s="319" t="s">
        <v>22</v>
      </c>
      <c r="C48" s="284">
        <v>6418700345</v>
      </c>
      <c r="D48" s="302">
        <v>64187003450</v>
      </c>
      <c r="E48" s="346"/>
      <c r="F48" s="66">
        <v>43160</v>
      </c>
      <c r="G48" s="66">
        <v>43524</v>
      </c>
      <c r="H48" s="336">
        <v>80000</v>
      </c>
      <c r="I48" s="336">
        <f>H48*0.1</f>
        <v>8000</v>
      </c>
      <c r="J48" s="336">
        <f>SUM(H48:I48)</f>
        <v>88000</v>
      </c>
      <c r="K48" s="66" t="s">
        <v>70</v>
      </c>
      <c r="L48" s="289">
        <v>31</v>
      </c>
      <c r="M48" s="287">
        <v>7</v>
      </c>
      <c r="N48" s="375"/>
      <c r="O48" s="278">
        <v>44216</v>
      </c>
      <c r="P48" s="279">
        <v>44230</v>
      </c>
      <c r="Q48" s="278">
        <v>44246</v>
      </c>
      <c r="R48" s="279">
        <v>44259</v>
      </c>
      <c r="S48" s="278">
        <v>44274</v>
      </c>
      <c r="T48" s="279">
        <v>44288</v>
      </c>
      <c r="U48" s="278">
        <v>44306</v>
      </c>
      <c r="V48" s="279">
        <v>44322</v>
      </c>
      <c r="W48" s="278"/>
      <c r="X48" s="279"/>
      <c r="Y48" s="278"/>
      <c r="Z48" s="279"/>
      <c r="AA48" s="278"/>
      <c r="AB48" s="279"/>
      <c r="AC48" s="278"/>
      <c r="AD48" s="279"/>
      <c r="AE48" s="278"/>
      <c r="AF48" s="279"/>
      <c r="AG48" s="278"/>
      <c r="AH48" s="279"/>
      <c r="AI48" s="278"/>
      <c r="AJ48" s="279"/>
      <c r="AK48" s="278"/>
      <c r="AL48" s="279"/>
      <c r="AM48" s="66">
        <f>IFERROR(
IF(M48="해지","제외",
IF(M48=25,DATE(AO$2,AO$3,DAY(M48)),
IF(M48=31,EOMONTH(DATE(AO$2,AO$3,29),0),
DATE(AO$2,AO$3+1,DAY(M48))))),"예외")</f>
        <v>44354</v>
      </c>
      <c r="AN48" s="346" t="str">
        <f>IFERROR(CHOOSE(WEEKDAY(AM48,2),"월","화","수","목","금","토","일"),"")</f>
        <v>월</v>
      </c>
      <c r="AO48" s="346"/>
      <c r="AP48" s="346"/>
      <c r="AQ48" s="346"/>
      <c r="AR48" s="346"/>
      <c r="AS48" s="372"/>
      <c r="AT48" s="346"/>
    </row>
    <row r="49" spans="1:46" ht="18" customHeight="1" x14ac:dyDescent="0.3">
      <c r="A49" s="346">
        <v>38</v>
      </c>
      <c r="B49" s="319" t="s">
        <v>583</v>
      </c>
      <c r="C49" s="284">
        <v>1190895199</v>
      </c>
      <c r="D49" s="302">
        <v>11908951990</v>
      </c>
      <c r="E49" s="346"/>
      <c r="F49" s="66">
        <v>43586</v>
      </c>
      <c r="G49" s="66">
        <v>43951</v>
      </c>
      <c r="H49" s="336">
        <v>100000</v>
      </c>
      <c r="I49" s="336">
        <f>H49*0.1</f>
        <v>10000</v>
      </c>
      <c r="J49" s="336">
        <f>SUM(H49:I49)</f>
        <v>110000</v>
      </c>
      <c r="K49" s="66" t="s">
        <v>70</v>
      </c>
      <c r="L49" s="289">
        <v>31</v>
      </c>
      <c r="M49" s="287">
        <v>10</v>
      </c>
      <c r="N49" s="351"/>
      <c r="O49" s="278">
        <v>44216</v>
      </c>
      <c r="P49" s="279">
        <v>44230</v>
      </c>
      <c r="Q49" s="278">
        <v>44246</v>
      </c>
      <c r="R49" s="279">
        <v>44259</v>
      </c>
      <c r="S49" s="278">
        <v>44274</v>
      </c>
      <c r="T49" s="279">
        <v>44288</v>
      </c>
      <c r="U49" s="278">
        <v>44306</v>
      </c>
      <c r="V49" s="279">
        <v>44322</v>
      </c>
      <c r="W49" s="278"/>
      <c r="X49" s="279"/>
      <c r="Y49" s="278"/>
      <c r="Z49" s="279"/>
      <c r="AA49" s="278"/>
      <c r="AB49" s="279"/>
      <c r="AC49" s="278"/>
      <c r="AD49" s="279"/>
      <c r="AE49" s="278"/>
      <c r="AF49" s="279"/>
      <c r="AG49" s="278"/>
      <c r="AH49" s="279"/>
      <c r="AI49" s="278"/>
      <c r="AJ49" s="279"/>
      <c r="AK49" s="278"/>
      <c r="AL49" s="279"/>
      <c r="AM49" s="66">
        <f>IFERROR(
IF(M49="해지","제외",
IF(M49=25,DATE(AO$2,AO$3,DAY(M49)),
IF(M49=31,EOMONTH(DATE(AO$2,AO$3,29),0),
DATE(AO$2,AO$3+1,DAY(M49))))),"예외")</f>
        <v>44357</v>
      </c>
      <c r="AN49" s="346" t="str">
        <f>IFERROR(CHOOSE(WEEKDAY(AM49,2),"월","화","수","목","금","토","일"),"")</f>
        <v>목</v>
      </c>
      <c r="AO49" s="373"/>
      <c r="AP49" s="373"/>
      <c r="AQ49" s="373"/>
      <c r="AR49" s="373"/>
      <c r="AS49" s="373"/>
      <c r="AT49" s="373"/>
    </row>
    <row r="50" spans="1:46" ht="18" customHeight="1" x14ac:dyDescent="0.3">
      <c r="A50" s="331">
        <v>39</v>
      </c>
      <c r="B50" s="319" t="s">
        <v>603</v>
      </c>
      <c r="C50" s="284">
        <v>4959201221</v>
      </c>
      <c r="D50" s="302">
        <v>49592012210</v>
      </c>
      <c r="E50" s="331"/>
      <c r="F50" s="66">
        <v>44105</v>
      </c>
      <c r="G50" s="291">
        <v>44469</v>
      </c>
      <c r="H50" s="336">
        <v>100000</v>
      </c>
      <c r="I50" s="336">
        <f>H50*0.1</f>
        <v>10000</v>
      </c>
      <c r="J50" s="336">
        <f>SUM(H50:I50)</f>
        <v>110000</v>
      </c>
      <c r="K50" s="66" t="s">
        <v>70</v>
      </c>
      <c r="L50" s="289">
        <v>31</v>
      </c>
      <c r="M50" s="287">
        <v>10</v>
      </c>
      <c r="N50" s="374"/>
      <c r="O50" s="278">
        <v>44216</v>
      </c>
      <c r="P50" s="279">
        <v>44230</v>
      </c>
      <c r="Q50" s="278">
        <v>44246</v>
      </c>
      <c r="R50" s="279">
        <v>44259</v>
      </c>
      <c r="S50" s="278">
        <v>44274</v>
      </c>
      <c r="T50" s="279">
        <v>44288</v>
      </c>
      <c r="U50" s="278">
        <v>44306</v>
      </c>
      <c r="V50" s="279">
        <v>44322</v>
      </c>
      <c r="W50" s="278"/>
      <c r="X50" s="279"/>
      <c r="Y50" s="278"/>
      <c r="Z50" s="279"/>
      <c r="AA50" s="278"/>
      <c r="AB50" s="279"/>
      <c r="AC50" s="278"/>
      <c r="AD50" s="279"/>
      <c r="AE50" s="278"/>
      <c r="AF50" s="279"/>
      <c r="AG50" s="278"/>
      <c r="AH50" s="279"/>
      <c r="AI50" s="278"/>
      <c r="AJ50" s="279"/>
      <c r="AK50" s="278"/>
      <c r="AL50" s="279"/>
      <c r="AM50" s="66">
        <f>IFERROR(
IF(M50="해지","제외",
IF(M50=25,DATE(AO$2,AO$3,DAY(M50)),
IF(M50=31,EOMONTH(DATE(AO$2,AO$3,29),0),
DATE(AO$2,AO$3+1,DAY(M50))))),"예외")</f>
        <v>44357</v>
      </c>
      <c r="AN50" s="331" t="str">
        <f>IFERROR(CHOOSE(WEEKDAY(AM50,2),"월","화","수","목","금","토","일"),"")</f>
        <v>목</v>
      </c>
      <c r="AO50" s="349"/>
      <c r="AP50" s="349"/>
      <c r="AQ50" s="349"/>
      <c r="AR50" s="349"/>
      <c r="AS50" s="373"/>
      <c r="AT50" s="349"/>
    </row>
    <row r="51" spans="1:46" ht="18" customHeight="1" x14ac:dyDescent="0.3">
      <c r="A51" s="331">
        <v>40</v>
      </c>
      <c r="B51" s="321" t="s">
        <v>600</v>
      </c>
      <c r="C51" s="323">
        <v>4198601283</v>
      </c>
      <c r="D51" s="302">
        <v>41986012830</v>
      </c>
      <c r="E51" s="331"/>
      <c r="F51" s="66">
        <v>44166</v>
      </c>
      <c r="G51" s="66">
        <v>44530</v>
      </c>
      <c r="H51" s="336">
        <v>100000</v>
      </c>
      <c r="I51" s="336">
        <f>H51*0.1</f>
        <v>10000</v>
      </c>
      <c r="J51" s="336">
        <f>SUM(H51:I51)</f>
        <v>110000</v>
      </c>
      <c r="K51" s="66" t="s">
        <v>70</v>
      </c>
      <c r="L51" s="289">
        <v>31</v>
      </c>
      <c r="M51" s="287">
        <v>10</v>
      </c>
      <c r="N51" s="351"/>
      <c r="O51" s="278">
        <v>44216</v>
      </c>
      <c r="P51" s="279">
        <v>44230</v>
      </c>
      <c r="Q51" s="278">
        <v>44246</v>
      </c>
      <c r="R51" s="279">
        <v>44259</v>
      </c>
      <c r="S51" s="278">
        <v>44274</v>
      </c>
      <c r="T51" s="279">
        <v>44288</v>
      </c>
      <c r="U51" s="278">
        <v>44306</v>
      </c>
      <c r="V51" s="279">
        <v>44322</v>
      </c>
      <c r="W51" s="278"/>
      <c r="X51" s="279"/>
      <c r="Y51" s="278"/>
      <c r="Z51" s="279"/>
      <c r="AA51" s="278"/>
      <c r="AB51" s="279"/>
      <c r="AC51" s="278"/>
      <c r="AD51" s="279"/>
      <c r="AE51" s="278"/>
      <c r="AF51" s="279"/>
      <c r="AG51" s="278"/>
      <c r="AH51" s="279"/>
      <c r="AI51" s="278"/>
      <c r="AJ51" s="279"/>
      <c r="AK51" s="278"/>
      <c r="AL51" s="279"/>
      <c r="AM51" s="66">
        <f>IFERROR(
IF(M51="해지","제외",
IF(M51=25,DATE(AO$2,AO$3,DAY(M51)),
IF(M51=31,EOMONTH(DATE(AO$2,AO$3,29),0),
DATE(AO$2,AO$3+1,DAY(M51))))),"예외")</f>
        <v>44357</v>
      </c>
      <c r="AN51" s="331" t="str">
        <f>IFERROR(CHOOSE(WEEKDAY(AM51,2),"월","화","수","목","금","토","일"),"")</f>
        <v>목</v>
      </c>
      <c r="AO51" s="121"/>
      <c r="AP51" s="121"/>
      <c r="AQ51" s="121"/>
      <c r="AR51" s="121"/>
      <c r="AS51" s="121"/>
      <c r="AT51" s="121"/>
    </row>
    <row r="52" spans="1:46" ht="18" customHeight="1" x14ac:dyDescent="0.3">
      <c r="A52" s="349">
        <v>41</v>
      </c>
      <c r="B52" s="319" t="s">
        <v>33</v>
      </c>
      <c r="C52" s="284">
        <v>1278184338</v>
      </c>
      <c r="D52" s="302">
        <v>12781843380</v>
      </c>
      <c r="E52" s="349"/>
      <c r="F52" s="66">
        <v>43132</v>
      </c>
      <c r="G52" s="66">
        <v>43312</v>
      </c>
      <c r="H52" s="351">
        <v>300000</v>
      </c>
      <c r="I52" s="351">
        <f>H52*0.1</f>
        <v>30000</v>
      </c>
      <c r="J52" s="351">
        <f>SUM(H52:I52)</f>
        <v>330000</v>
      </c>
      <c r="K52" s="66" t="s">
        <v>70</v>
      </c>
      <c r="L52" s="289">
        <v>31</v>
      </c>
      <c r="M52" s="287">
        <v>11</v>
      </c>
      <c r="N52" s="375"/>
      <c r="O52" s="278">
        <v>44216</v>
      </c>
      <c r="P52" s="279">
        <v>44230</v>
      </c>
      <c r="Q52" s="278">
        <v>44246</v>
      </c>
      <c r="R52" s="279">
        <v>44259</v>
      </c>
      <c r="S52" s="278">
        <v>44274</v>
      </c>
      <c r="T52" s="279">
        <v>44288</v>
      </c>
      <c r="U52" s="278">
        <v>44306</v>
      </c>
      <c r="V52" s="279">
        <v>44322</v>
      </c>
      <c r="W52" s="278"/>
      <c r="X52" s="279"/>
      <c r="Y52" s="278"/>
      <c r="Z52" s="279"/>
      <c r="AA52" s="278"/>
      <c r="AB52" s="279"/>
      <c r="AC52" s="278"/>
      <c r="AD52" s="279"/>
      <c r="AE52" s="278"/>
      <c r="AF52" s="279"/>
      <c r="AG52" s="278"/>
      <c r="AH52" s="279"/>
      <c r="AI52" s="278"/>
      <c r="AJ52" s="279"/>
      <c r="AK52" s="278"/>
      <c r="AL52" s="279"/>
      <c r="AM52" s="66">
        <f>IFERROR(
IF(M52="해지","제외",
IF(M52=25,DATE(AO$2,AO$3,DAY(M52)),
IF(M52=31,EOMONTH(DATE(AO$2,AO$3,29),0),
DATE(AO$2,AO$3+1,DAY(M52))))),"예외")</f>
        <v>44358</v>
      </c>
      <c r="AN52" s="349" t="str">
        <f>IFERROR(CHOOSE(WEEKDAY(AM52,2),"월","화","수","목","금","토","일"),"")</f>
        <v>금</v>
      </c>
      <c r="AO52" s="349"/>
      <c r="AP52" s="349"/>
      <c r="AQ52" s="349"/>
      <c r="AR52" s="349"/>
      <c r="AS52" s="349"/>
      <c r="AT52" s="349"/>
    </row>
    <row r="53" spans="1:46" s="348" customFormat="1" ht="18" customHeight="1" x14ac:dyDescent="0.3">
      <c r="A53" s="356">
        <v>99</v>
      </c>
      <c r="B53" s="357" t="s">
        <v>615</v>
      </c>
      <c r="C53" s="358"/>
      <c r="D53" s="359"/>
      <c r="E53" s="356"/>
      <c r="F53" s="360"/>
      <c r="G53" s="360"/>
      <c r="H53" s="361"/>
      <c r="I53" s="361"/>
      <c r="J53" s="361"/>
      <c r="K53" s="360"/>
      <c r="L53" s="362"/>
      <c r="M53" s="363">
        <v>25</v>
      </c>
      <c r="N53" s="361"/>
      <c r="O53" s="364"/>
      <c r="P53" s="365"/>
      <c r="Q53" s="364"/>
      <c r="R53" s="365"/>
      <c r="S53" s="364"/>
      <c r="T53" s="365"/>
      <c r="U53" s="364"/>
      <c r="V53" s="365"/>
      <c r="W53" s="364"/>
      <c r="X53" s="365"/>
      <c r="Y53" s="364"/>
      <c r="Z53" s="365"/>
      <c r="AA53" s="364"/>
      <c r="AB53" s="365"/>
      <c r="AC53" s="364"/>
      <c r="AD53" s="365"/>
      <c r="AE53" s="364"/>
      <c r="AF53" s="365"/>
      <c r="AG53" s="364"/>
      <c r="AH53" s="365"/>
      <c r="AI53" s="364"/>
      <c r="AJ53" s="365"/>
      <c r="AK53" s="364"/>
      <c r="AL53" s="365"/>
      <c r="AM53" s="360">
        <f>IFERROR(
IF(M53="해지","제외",
IF(M53=25,DATE(AO$2,AO$3,DAY(M53)),
IF(M53=31,EOMONTH(DATE(AO$2,AO$3,29),0),
DATE(AO$2,AO$3+1,DAY(M53))))),"예외")</f>
        <v>44341</v>
      </c>
      <c r="AN53" s="356"/>
      <c r="AO53" s="356"/>
      <c r="AP53" s="356"/>
      <c r="AQ53" s="356"/>
      <c r="AR53" s="356"/>
      <c r="AS53" s="356"/>
      <c r="AT53" s="356"/>
    </row>
    <row r="54" spans="1:46" s="348" customFormat="1" ht="18" customHeight="1" x14ac:dyDescent="0.3">
      <c r="A54" s="356">
        <v>99</v>
      </c>
      <c r="B54" s="357" t="s">
        <v>615</v>
      </c>
      <c r="C54" s="358"/>
      <c r="D54" s="359"/>
      <c r="E54" s="356"/>
      <c r="F54" s="360"/>
      <c r="G54" s="360"/>
      <c r="H54" s="361"/>
      <c r="I54" s="361"/>
      <c r="J54" s="361"/>
      <c r="K54" s="360"/>
      <c r="L54" s="362"/>
      <c r="M54" s="363">
        <v>31</v>
      </c>
      <c r="N54" s="361"/>
      <c r="O54" s="364"/>
      <c r="P54" s="365"/>
      <c r="Q54" s="364"/>
      <c r="R54" s="365"/>
      <c r="S54" s="364"/>
      <c r="T54" s="365"/>
      <c r="U54" s="364"/>
      <c r="V54" s="365"/>
      <c r="W54" s="364"/>
      <c r="X54" s="365"/>
      <c r="Y54" s="364"/>
      <c r="Z54" s="365"/>
      <c r="AA54" s="364"/>
      <c r="AB54" s="365"/>
      <c r="AC54" s="364"/>
      <c r="AD54" s="365"/>
      <c r="AE54" s="364"/>
      <c r="AF54" s="365"/>
      <c r="AG54" s="364"/>
      <c r="AH54" s="365"/>
      <c r="AI54" s="364"/>
      <c r="AJ54" s="365"/>
      <c r="AK54" s="364"/>
      <c r="AL54" s="365"/>
      <c r="AM54" s="360">
        <f>IFERROR(
IF(M54="해지","제외",
IF(M54=25,DATE(AO$2,AO$3,DAY(M54)),
IF(M54=31,EOMONTH(DATE(AO$2,AO$3,29),0),
DATE(AO$2,AO$3+1,DAY(M54))))),"예외")</f>
        <v>44347</v>
      </c>
      <c r="AN54" s="356"/>
      <c r="AO54" s="356"/>
      <c r="AP54" s="356"/>
      <c r="AQ54" s="356"/>
      <c r="AR54" s="356"/>
      <c r="AS54" s="356"/>
      <c r="AT54" s="356"/>
    </row>
    <row r="55" spans="1:46" s="348" customFormat="1" ht="18" customHeight="1" x14ac:dyDescent="0.3">
      <c r="A55" s="356">
        <v>99</v>
      </c>
      <c r="B55" s="357" t="s">
        <v>615</v>
      </c>
      <c r="C55" s="358"/>
      <c r="D55" s="359"/>
      <c r="E55" s="356"/>
      <c r="F55" s="360"/>
      <c r="G55" s="360"/>
      <c r="H55" s="361"/>
      <c r="I55" s="361"/>
      <c r="J55" s="361"/>
      <c r="K55" s="360"/>
      <c r="L55" s="362"/>
      <c r="M55" s="363">
        <v>5</v>
      </c>
      <c r="N55" s="361"/>
      <c r="O55" s="364"/>
      <c r="P55" s="365"/>
      <c r="Q55" s="364"/>
      <c r="R55" s="365"/>
      <c r="S55" s="364"/>
      <c r="T55" s="365"/>
      <c r="U55" s="364"/>
      <c r="V55" s="365"/>
      <c r="W55" s="364"/>
      <c r="X55" s="365"/>
      <c r="Y55" s="364"/>
      <c r="Z55" s="365"/>
      <c r="AA55" s="364"/>
      <c r="AB55" s="365"/>
      <c r="AC55" s="364"/>
      <c r="AD55" s="365"/>
      <c r="AE55" s="364"/>
      <c r="AF55" s="365"/>
      <c r="AG55" s="364"/>
      <c r="AH55" s="365"/>
      <c r="AI55" s="364"/>
      <c r="AJ55" s="365"/>
      <c r="AK55" s="364"/>
      <c r="AL55" s="365"/>
      <c r="AM55" s="360">
        <f>IFERROR(
IF(M55="해지","제외",
IF(M55=25,DATE(AO$2,AO$3,DAY(M55)),
IF(M55=31,EOMONTH(DATE(AO$2,AO$3,29),0),
DATE(AO$2,AO$3+1,DAY(M55))))),"예외")</f>
        <v>44352</v>
      </c>
      <c r="AN55" s="356"/>
      <c r="AO55" s="356"/>
      <c r="AP55" s="356"/>
      <c r="AQ55" s="356"/>
      <c r="AR55" s="356"/>
      <c r="AS55" s="356"/>
      <c r="AT55" s="356"/>
    </row>
    <row r="56" spans="1:46" s="348" customFormat="1" ht="18" customHeight="1" x14ac:dyDescent="0.3">
      <c r="A56" s="356">
        <v>99</v>
      </c>
      <c r="B56" s="357" t="s">
        <v>615</v>
      </c>
      <c r="C56" s="358"/>
      <c r="D56" s="359"/>
      <c r="E56" s="356"/>
      <c r="F56" s="360"/>
      <c r="G56" s="360"/>
      <c r="H56" s="361"/>
      <c r="I56" s="361"/>
      <c r="J56" s="361"/>
      <c r="K56" s="360"/>
      <c r="L56" s="362"/>
      <c r="M56" s="363">
        <v>7</v>
      </c>
      <c r="N56" s="361"/>
      <c r="O56" s="364"/>
      <c r="P56" s="365"/>
      <c r="Q56" s="364"/>
      <c r="R56" s="365"/>
      <c r="S56" s="364"/>
      <c r="T56" s="365"/>
      <c r="U56" s="364"/>
      <c r="V56" s="365"/>
      <c r="W56" s="364"/>
      <c r="X56" s="365"/>
      <c r="Y56" s="364"/>
      <c r="Z56" s="365"/>
      <c r="AA56" s="364"/>
      <c r="AB56" s="365"/>
      <c r="AC56" s="364"/>
      <c r="AD56" s="365"/>
      <c r="AE56" s="364"/>
      <c r="AF56" s="365"/>
      <c r="AG56" s="364"/>
      <c r="AH56" s="365"/>
      <c r="AI56" s="364"/>
      <c r="AJ56" s="365"/>
      <c r="AK56" s="364"/>
      <c r="AL56" s="365"/>
      <c r="AM56" s="360">
        <f>IFERROR(
IF(M56="해지","제외",
IF(M56=25,DATE(AO$2,AO$3,DAY(M56)),
IF(M56=31,EOMONTH(DATE(AO$2,AO$3,29),0),
DATE(AO$2,AO$3+1,DAY(M56))))),"예외")</f>
        <v>44354</v>
      </c>
      <c r="AN56" s="356"/>
      <c r="AO56" s="356"/>
      <c r="AP56" s="356"/>
      <c r="AQ56" s="356"/>
      <c r="AR56" s="356"/>
      <c r="AS56" s="356"/>
      <c r="AT56" s="356"/>
    </row>
    <row r="57" spans="1:46" ht="18" customHeight="1" thickBot="1" x14ac:dyDescent="0.35">
      <c r="A57" s="356">
        <v>99</v>
      </c>
      <c r="B57" s="357" t="s">
        <v>615</v>
      </c>
      <c r="C57" s="358"/>
      <c r="D57" s="359"/>
      <c r="E57" s="356"/>
      <c r="F57" s="360"/>
      <c r="G57" s="360"/>
      <c r="H57" s="361"/>
      <c r="I57" s="361"/>
      <c r="J57" s="361"/>
      <c r="K57" s="360"/>
      <c r="L57" s="362"/>
      <c r="M57" s="363">
        <v>11</v>
      </c>
      <c r="N57" s="361"/>
      <c r="O57" s="364"/>
      <c r="P57" s="365"/>
      <c r="Q57" s="364"/>
      <c r="R57" s="365"/>
      <c r="S57" s="364"/>
      <c r="T57" s="365"/>
      <c r="U57" s="364"/>
      <c r="V57" s="365"/>
      <c r="W57" s="364"/>
      <c r="X57" s="365"/>
      <c r="Y57" s="364"/>
      <c r="Z57" s="365"/>
      <c r="AA57" s="364"/>
      <c r="AB57" s="365"/>
      <c r="AC57" s="364"/>
      <c r="AD57" s="365"/>
      <c r="AE57" s="364"/>
      <c r="AF57" s="365"/>
      <c r="AG57" s="364"/>
      <c r="AH57" s="365"/>
      <c r="AI57" s="364"/>
      <c r="AJ57" s="365"/>
      <c r="AK57" s="364"/>
      <c r="AL57" s="365"/>
      <c r="AM57" s="360">
        <f>IFERROR(
IF(M57="해지","제외",
IF(M57=25,DATE(AO$2,AO$3,DAY(M57)),
IF(M57=31,EOMONTH(DATE(AO$2,AO$3,29),0),
DATE(AO$2,AO$3+1,DAY(M57))))),"예외")</f>
        <v>44358</v>
      </c>
      <c r="AN57" s="356"/>
      <c r="AO57" s="356"/>
      <c r="AP57" s="356"/>
      <c r="AQ57" s="356"/>
      <c r="AR57" s="356"/>
      <c r="AS57" s="356"/>
      <c r="AT57" s="356"/>
    </row>
    <row r="58" spans="1:46" ht="18" hidden="1" customHeight="1" x14ac:dyDescent="0.3">
      <c r="A58" s="331">
        <v>42</v>
      </c>
      <c r="B58" s="319" t="s">
        <v>605</v>
      </c>
      <c r="C58" s="284">
        <v>7949900526</v>
      </c>
      <c r="D58" s="302">
        <v>79499005260</v>
      </c>
      <c r="E58" s="369"/>
      <c r="F58" s="66">
        <v>42644</v>
      </c>
      <c r="G58" s="66">
        <v>43100</v>
      </c>
      <c r="H58" s="370">
        <v>120000</v>
      </c>
      <c r="I58" s="370">
        <f>H58*0.1</f>
        <v>12000</v>
      </c>
      <c r="J58" s="370">
        <f>SUM(H58:I58)</f>
        <v>132000</v>
      </c>
      <c r="K58" s="337" t="s">
        <v>474</v>
      </c>
      <c r="L58" s="289">
        <v>25</v>
      </c>
      <c r="M58" s="290" t="s">
        <v>465</v>
      </c>
      <c r="N58" s="374"/>
      <c r="O58" s="278">
        <v>44216</v>
      </c>
      <c r="P58" s="279">
        <v>44225</v>
      </c>
      <c r="Q58" s="278">
        <v>44246</v>
      </c>
      <c r="R58" s="279">
        <v>44253</v>
      </c>
      <c r="S58" s="278">
        <v>44274</v>
      </c>
      <c r="T58" s="279">
        <v>44258</v>
      </c>
      <c r="U58" s="278">
        <v>44306</v>
      </c>
      <c r="V58" s="279">
        <v>44319</v>
      </c>
      <c r="W58" s="278"/>
      <c r="X58" s="279"/>
      <c r="Y58" s="278"/>
      <c r="Z58" s="279"/>
      <c r="AA58" s="278"/>
      <c r="AB58" s="279"/>
      <c r="AC58" s="278"/>
      <c r="AD58" s="279"/>
      <c r="AE58" s="278"/>
      <c r="AF58" s="279"/>
      <c r="AG58" s="278"/>
      <c r="AH58" s="279"/>
      <c r="AI58" s="278"/>
      <c r="AJ58" s="279"/>
      <c r="AK58" s="278"/>
      <c r="AL58" s="279"/>
      <c r="AM58" s="66" t="str">
        <f>IFERROR(
IF(M58="해지","제외",
IF(M58=25,DATE(AO$2,AO$3,DAY(M58)),
IF(M58=31,EOMONTH(DATE(AO$2,AO$3,29),0),
DATE(AO$2,AO$3+1,DAY(M58))))),"예외")</f>
        <v>예외</v>
      </c>
      <c r="AN58" s="346" t="str">
        <f>IFERROR(CHOOSE(WEEKDAY(AM58,2),"월","화","수","목","금","토","일"),"")</f>
        <v/>
      </c>
      <c r="AO58" s="373"/>
      <c r="AP58" s="373"/>
      <c r="AQ58" s="373"/>
      <c r="AR58" s="373"/>
      <c r="AS58" s="373"/>
      <c r="AT58" s="373"/>
    </row>
    <row r="59" spans="1:46" ht="18" hidden="1" customHeight="1" x14ac:dyDescent="0.3">
      <c r="A59" s="373">
        <v>43</v>
      </c>
      <c r="B59" s="319" t="s">
        <v>8</v>
      </c>
      <c r="C59" s="284">
        <v>2208734406</v>
      </c>
      <c r="D59" s="302">
        <v>22087344060</v>
      </c>
      <c r="E59" s="373"/>
      <c r="F59" s="66">
        <v>43193</v>
      </c>
      <c r="G59" s="66">
        <v>43557</v>
      </c>
      <c r="H59" s="375">
        <v>220000</v>
      </c>
      <c r="I59" s="375">
        <f>H59*0.1</f>
        <v>22000</v>
      </c>
      <c r="J59" s="375">
        <f>SUM(H59:I59)</f>
        <v>242000</v>
      </c>
      <c r="K59" s="337" t="s">
        <v>474</v>
      </c>
      <c r="L59" s="289">
        <v>25</v>
      </c>
      <c r="M59" s="290" t="s">
        <v>465</v>
      </c>
      <c r="N59" s="374"/>
      <c r="O59" s="278">
        <v>44216</v>
      </c>
      <c r="P59" s="279">
        <v>44221</v>
      </c>
      <c r="Q59" s="278">
        <v>44246</v>
      </c>
      <c r="R59" s="279">
        <v>44252</v>
      </c>
      <c r="S59" s="278">
        <v>44274</v>
      </c>
      <c r="T59" s="279">
        <v>44280</v>
      </c>
      <c r="U59" s="278">
        <v>44306</v>
      </c>
      <c r="V59" s="279">
        <v>44309</v>
      </c>
      <c r="W59" s="278"/>
      <c r="X59" s="279"/>
      <c r="Y59" s="278"/>
      <c r="Z59" s="279"/>
      <c r="AA59" s="278"/>
      <c r="AB59" s="279"/>
      <c r="AC59" s="278"/>
      <c r="AD59" s="279"/>
      <c r="AE59" s="278"/>
      <c r="AF59" s="279"/>
      <c r="AG59" s="278"/>
      <c r="AH59" s="279"/>
      <c r="AI59" s="278"/>
      <c r="AJ59" s="279"/>
      <c r="AK59" s="278"/>
      <c r="AL59" s="279"/>
      <c r="AM59" s="66" t="str">
        <f>IFERROR(
IF(M59="해지","제외",
IF(M59=25,DATE(AO$2,AO$3,DAY(M59)),
IF(M59=31,EOMONTH(DATE(AO$2,AO$3,29),0),
DATE(AO$2,AO$3+1,DAY(M59))))),"예외")</f>
        <v>예외</v>
      </c>
      <c r="AN59" s="373" t="str">
        <f>IFERROR(CHOOSE(WEEKDAY(AM59,2),"월","화","수","목","금","토","일"),"")</f>
        <v/>
      </c>
      <c r="AO59" s="373"/>
      <c r="AP59" s="373"/>
      <c r="AQ59" s="373"/>
      <c r="AR59" s="373"/>
      <c r="AS59" s="373"/>
      <c r="AT59" s="373"/>
    </row>
    <row r="60" spans="1:46" ht="18" hidden="1" customHeight="1" x14ac:dyDescent="0.3">
      <c r="A60" s="331">
        <v>44</v>
      </c>
      <c r="B60" s="319" t="s">
        <v>479</v>
      </c>
      <c r="C60" s="284">
        <v>2068173551</v>
      </c>
      <c r="D60" s="302">
        <v>20681735510</v>
      </c>
      <c r="E60" s="331"/>
      <c r="F60" s="66">
        <v>43678</v>
      </c>
      <c r="G60" s="66">
        <v>44043</v>
      </c>
      <c r="H60" s="336">
        <v>70000</v>
      </c>
      <c r="I60" s="336">
        <f>H60*0.1</f>
        <v>7000</v>
      </c>
      <c r="J60" s="336">
        <f>SUM(H60:I60)</f>
        <v>77000</v>
      </c>
      <c r="K60" s="66" t="s">
        <v>70</v>
      </c>
      <c r="L60" s="289">
        <v>31</v>
      </c>
      <c r="M60" s="290" t="s">
        <v>465</v>
      </c>
      <c r="N60" s="374"/>
      <c r="O60" s="278">
        <v>44216</v>
      </c>
      <c r="P60" s="279">
        <v>44230</v>
      </c>
      <c r="Q60" s="278">
        <v>44246</v>
      </c>
      <c r="R60" s="279">
        <v>44259</v>
      </c>
      <c r="S60" s="278">
        <v>44274</v>
      </c>
      <c r="T60" s="279">
        <v>44287</v>
      </c>
      <c r="U60" s="278">
        <v>44306</v>
      </c>
      <c r="V60" s="279">
        <v>44319</v>
      </c>
      <c r="W60" s="278"/>
      <c r="X60" s="279"/>
      <c r="Y60" s="278"/>
      <c r="Z60" s="279"/>
      <c r="AA60" s="278"/>
      <c r="AB60" s="279"/>
      <c r="AC60" s="278"/>
      <c r="AD60" s="279"/>
      <c r="AE60" s="278"/>
      <c r="AF60" s="279"/>
      <c r="AG60" s="278"/>
      <c r="AH60" s="279"/>
      <c r="AI60" s="278"/>
      <c r="AJ60" s="279"/>
      <c r="AK60" s="278"/>
      <c r="AL60" s="279"/>
      <c r="AM60" s="66" t="str">
        <f>IFERROR(
IF(M60="해지","제외",
IF(M60=25,DATE(AO$2,AO$3,DAY(M60)),
IF(M60=31,EOMONTH(DATE(AO$2,AO$3,29),0),
DATE(AO$2,AO$3+1,DAY(M60))))),"예외")</f>
        <v>예외</v>
      </c>
      <c r="AN60" s="346" t="str">
        <f>IFERROR(CHOOSE(WEEKDAY(AM60,2),"월","화","수","목","금","토","일"),"")</f>
        <v/>
      </c>
      <c r="AO60" s="373"/>
      <c r="AP60" s="373"/>
      <c r="AQ60" s="373"/>
      <c r="AR60" s="373"/>
      <c r="AS60" s="373"/>
      <c r="AT60" s="373"/>
    </row>
    <row r="61" spans="1:46" ht="18" hidden="1" customHeight="1" x14ac:dyDescent="0.3">
      <c r="A61" s="346">
        <v>45</v>
      </c>
      <c r="B61" s="319" t="s">
        <v>579</v>
      </c>
      <c r="C61" s="284">
        <v>2178117729</v>
      </c>
      <c r="D61" s="302">
        <v>21781177290</v>
      </c>
      <c r="E61" s="346"/>
      <c r="F61" s="66">
        <v>44013</v>
      </c>
      <c r="G61" s="66">
        <v>44408</v>
      </c>
      <c r="H61" s="340">
        <v>70000</v>
      </c>
      <c r="I61" s="340">
        <f>H61*0.1</f>
        <v>7000</v>
      </c>
      <c r="J61" s="340">
        <f>SUM(H61:I61)</f>
        <v>77000</v>
      </c>
      <c r="K61" s="66" t="s">
        <v>70</v>
      </c>
      <c r="L61" s="289">
        <v>31</v>
      </c>
      <c r="M61" s="290" t="s">
        <v>465</v>
      </c>
      <c r="N61" s="374"/>
      <c r="O61" s="278">
        <v>44216</v>
      </c>
      <c r="P61" s="279">
        <v>44230</v>
      </c>
      <c r="Q61" s="278">
        <v>44246</v>
      </c>
      <c r="R61" s="279">
        <v>44259</v>
      </c>
      <c r="S61" s="278">
        <v>44274</v>
      </c>
      <c r="T61" s="279">
        <v>44287</v>
      </c>
      <c r="U61" s="278">
        <v>44306</v>
      </c>
      <c r="V61" s="279">
        <v>44319</v>
      </c>
      <c r="W61" s="278"/>
      <c r="X61" s="279"/>
      <c r="Y61" s="278"/>
      <c r="Z61" s="279"/>
      <c r="AA61" s="278"/>
      <c r="AB61" s="279"/>
      <c r="AC61" s="278"/>
      <c r="AD61" s="279"/>
      <c r="AE61" s="278"/>
      <c r="AF61" s="279"/>
      <c r="AG61" s="278"/>
      <c r="AH61" s="279"/>
      <c r="AI61" s="278"/>
      <c r="AJ61" s="279"/>
      <c r="AK61" s="278"/>
      <c r="AL61" s="279"/>
      <c r="AM61" s="66" t="str">
        <f>IFERROR(
IF(M61="해지","제외",
IF(M61=25,DATE(AO$2,AO$3,DAY(M61)),
IF(M61=31,EOMONTH(DATE(AO$2,AO$3,29),0),
DATE(AO$2,AO$3+1,DAY(M61))))),"예외")</f>
        <v>예외</v>
      </c>
      <c r="AN61" s="346" t="str">
        <f>IFERROR(CHOOSE(WEEKDAY(AM61,2),"월","화","수","목","금","토","일"),"")</f>
        <v/>
      </c>
      <c r="AO61" s="373"/>
      <c r="AP61" s="373"/>
      <c r="AQ61" s="373"/>
      <c r="AR61" s="373"/>
      <c r="AS61" s="373"/>
      <c r="AT61" s="373"/>
    </row>
    <row r="62" spans="1:46" ht="18" hidden="1" customHeight="1" x14ac:dyDescent="0.3">
      <c r="A62" s="331">
        <v>46</v>
      </c>
      <c r="B62" s="319" t="s">
        <v>580</v>
      </c>
      <c r="C62" s="284">
        <v>2048188820</v>
      </c>
      <c r="D62" s="302">
        <v>20481888200</v>
      </c>
      <c r="E62" s="331"/>
      <c r="F62" s="66">
        <v>43983</v>
      </c>
      <c r="G62" s="66">
        <v>44347</v>
      </c>
      <c r="H62" s="347">
        <v>250000</v>
      </c>
      <c r="I62" s="347">
        <f>H62*0.1</f>
        <v>25000</v>
      </c>
      <c r="J62" s="347">
        <f>SUM(H62:I62)</f>
        <v>275000</v>
      </c>
      <c r="K62" s="66" t="s">
        <v>70</v>
      </c>
      <c r="L62" s="289">
        <v>31</v>
      </c>
      <c r="M62" s="290" t="s">
        <v>465</v>
      </c>
      <c r="N62" s="374"/>
      <c r="O62" s="278">
        <v>44216</v>
      </c>
      <c r="P62" s="279">
        <v>44230</v>
      </c>
      <c r="Q62" s="278">
        <v>44246</v>
      </c>
      <c r="R62" s="279">
        <v>44259</v>
      </c>
      <c r="S62" s="278">
        <v>44274</v>
      </c>
      <c r="T62" s="279">
        <v>44287</v>
      </c>
      <c r="U62" s="278">
        <v>44306</v>
      </c>
      <c r="V62" s="279">
        <v>44319</v>
      </c>
      <c r="W62" s="278"/>
      <c r="X62" s="279"/>
      <c r="Y62" s="278"/>
      <c r="Z62" s="279"/>
      <c r="AA62" s="278"/>
      <c r="AB62" s="279"/>
      <c r="AC62" s="278"/>
      <c r="AD62" s="279"/>
      <c r="AE62" s="278"/>
      <c r="AF62" s="279"/>
      <c r="AG62" s="278"/>
      <c r="AH62" s="279"/>
      <c r="AI62" s="278"/>
      <c r="AJ62" s="279"/>
      <c r="AK62" s="278"/>
      <c r="AL62" s="279"/>
      <c r="AM62" s="66" t="str">
        <f>IFERROR(
IF(M62="해지","제외",
IF(M62=25,DATE(AO$2,AO$3,DAY(M62)),
IF(M62=31,EOMONTH(DATE(AO$2,AO$3,29),0),
DATE(AO$2,AO$3+1,DAY(M62))))),"예외")</f>
        <v>예외</v>
      </c>
      <c r="AN62" s="346" t="str">
        <f>IFERROR(CHOOSE(WEEKDAY(AM62,2),"월","화","수","목","금","토","일"),"")</f>
        <v/>
      </c>
      <c r="AO62" s="373"/>
      <c r="AP62" s="373"/>
      <c r="AQ62" s="373"/>
      <c r="AR62" s="373"/>
      <c r="AS62" s="373"/>
      <c r="AT62" s="373"/>
    </row>
    <row r="63" spans="1:46" ht="18" hidden="1" customHeight="1" x14ac:dyDescent="0.3">
      <c r="A63" s="331">
        <v>47</v>
      </c>
      <c r="B63" s="319" t="s">
        <v>611</v>
      </c>
      <c r="C63" s="284">
        <v>1130968390</v>
      </c>
      <c r="D63" s="302">
        <v>11309683900</v>
      </c>
      <c r="E63" s="331"/>
      <c r="F63" s="66">
        <v>43180</v>
      </c>
      <c r="G63" s="66">
        <v>43544</v>
      </c>
      <c r="H63" s="351">
        <v>100000</v>
      </c>
      <c r="I63" s="351">
        <f>H63*0.1</f>
        <v>10000</v>
      </c>
      <c r="J63" s="351">
        <f>SUM(H63:I63)</f>
        <v>110000</v>
      </c>
      <c r="K63" s="66" t="s">
        <v>70</v>
      </c>
      <c r="L63" s="289">
        <v>31</v>
      </c>
      <c r="M63" s="290" t="s">
        <v>465</v>
      </c>
      <c r="N63" s="374"/>
      <c r="O63" s="278">
        <v>44216</v>
      </c>
      <c r="P63" s="279">
        <v>44230</v>
      </c>
      <c r="Q63" s="278">
        <v>44246</v>
      </c>
      <c r="R63" s="279">
        <v>44259</v>
      </c>
      <c r="S63" s="278">
        <v>44274</v>
      </c>
      <c r="T63" s="279">
        <v>44288</v>
      </c>
      <c r="U63" s="278">
        <v>44306</v>
      </c>
      <c r="V63" s="277">
        <v>44328</v>
      </c>
      <c r="W63" s="278"/>
      <c r="X63" s="279"/>
      <c r="Y63" s="278"/>
      <c r="Z63" s="279"/>
      <c r="AA63" s="278"/>
      <c r="AB63" s="279"/>
      <c r="AC63" s="278"/>
      <c r="AD63" s="279"/>
      <c r="AE63" s="278"/>
      <c r="AF63" s="279"/>
      <c r="AG63" s="278"/>
      <c r="AH63" s="279"/>
      <c r="AI63" s="278"/>
      <c r="AJ63" s="279"/>
      <c r="AK63" s="278"/>
      <c r="AL63" s="279"/>
      <c r="AM63" s="66" t="str">
        <f>IFERROR(
IF(M63="해지","제외",
IF(M63=25,DATE(AO$2,AO$3,DAY(M63)),
IF(M63=31,EOMONTH(DATE(AO$2,AO$3,29),0),
DATE(AO$2,AO$3+1,DAY(M63))))),"예외")</f>
        <v>예외</v>
      </c>
      <c r="AN63" s="346" t="str">
        <f>IFERROR(CHOOSE(WEEKDAY(AM63,2),"월","화","수","목","금","토","일"),"")</f>
        <v/>
      </c>
      <c r="AO63" s="373"/>
      <c r="AP63" s="373"/>
      <c r="AQ63" s="373"/>
      <c r="AR63" s="373"/>
      <c r="AS63" s="373"/>
      <c r="AT63" s="373"/>
    </row>
    <row r="64" spans="1:46" ht="18" hidden="1" customHeight="1" x14ac:dyDescent="0.3">
      <c r="A64" s="331">
        <v>17</v>
      </c>
      <c r="B64" s="341" t="s">
        <v>588</v>
      </c>
      <c r="C64" s="341">
        <v>1274680442</v>
      </c>
      <c r="D64" s="341">
        <v>12746804420</v>
      </c>
      <c r="E64" s="367" t="s">
        <v>444</v>
      </c>
      <c r="F64" s="341">
        <v>43207</v>
      </c>
      <c r="G64" s="341">
        <v>43571</v>
      </c>
      <c r="H64" s="341"/>
      <c r="I64" s="341"/>
      <c r="J64" s="341"/>
      <c r="K64" s="342"/>
      <c r="L64" s="343"/>
      <c r="M64" s="344" t="s">
        <v>444</v>
      </c>
      <c r="N64" s="336"/>
      <c r="O64" s="274">
        <v>44206</v>
      </c>
      <c r="P64" s="275">
        <v>44214</v>
      </c>
      <c r="Q64" s="274">
        <v>44237</v>
      </c>
      <c r="R64" s="275">
        <v>44244</v>
      </c>
      <c r="S64" s="274">
        <v>44265</v>
      </c>
      <c r="T64" s="275">
        <v>44272</v>
      </c>
      <c r="U64" s="274">
        <v>44295</v>
      </c>
      <c r="V64" s="275">
        <v>44305</v>
      </c>
      <c r="W64" s="338"/>
      <c r="X64" s="339"/>
      <c r="Y64" s="338"/>
      <c r="Z64" s="339"/>
      <c r="AA64" s="338"/>
      <c r="AB64" s="339"/>
      <c r="AC64" s="338"/>
      <c r="AD64" s="339"/>
      <c r="AE64" s="338"/>
      <c r="AF64" s="339"/>
      <c r="AG64" s="338"/>
      <c r="AH64" s="339"/>
      <c r="AI64" s="338"/>
      <c r="AJ64" s="339"/>
      <c r="AK64" s="338"/>
      <c r="AL64" s="339"/>
      <c r="AM64" s="66" t="str">
        <f>IFERROR(
IF(M64="해지","제외",
IF(M64=25,DATE(AO$2,AO$3,DAY(M64)),
IF(M64=31,EOMONTH(DATE(AO$2,AO$3,29),0),
DATE(AO$2,AO$3+1,DAY(M64))))),"예외")</f>
        <v>제외</v>
      </c>
      <c r="AN64" s="331" t="str">
        <f>IFERROR(CHOOSE(WEEKDAY(AM64,2),"월","화","수","목","금","토","일"),"")</f>
        <v/>
      </c>
      <c r="AO64" s="373"/>
      <c r="AP64" s="373"/>
      <c r="AQ64" s="373"/>
      <c r="AR64" s="373"/>
      <c r="AS64" s="373"/>
      <c r="AT64" s="373"/>
    </row>
    <row r="65" spans="1:46" ht="18" hidden="1" customHeight="1" x14ac:dyDescent="0.3">
      <c r="A65" s="331">
        <v>53</v>
      </c>
      <c r="B65" s="321"/>
      <c r="C65" s="284"/>
      <c r="D65" s="285"/>
      <c r="E65" s="331"/>
      <c r="F65" s="66"/>
      <c r="G65" s="66"/>
      <c r="H65" s="336"/>
      <c r="I65" s="336"/>
      <c r="J65" s="336"/>
      <c r="K65" s="66"/>
      <c r="L65" s="336"/>
      <c r="M65" s="331"/>
      <c r="N65" s="336"/>
      <c r="O65" s="280"/>
      <c r="P65" s="281"/>
      <c r="Q65" s="280"/>
      <c r="R65" s="281"/>
      <c r="S65" s="280"/>
      <c r="T65" s="281"/>
      <c r="U65" s="280"/>
      <c r="V65" s="281"/>
      <c r="W65" s="280"/>
      <c r="X65" s="281"/>
      <c r="Y65" s="280"/>
      <c r="Z65" s="281"/>
      <c r="AA65" s="280"/>
      <c r="AB65" s="281"/>
      <c r="AC65" s="280"/>
      <c r="AD65" s="281"/>
      <c r="AE65" s="280"/>
      <c r="AF65" s="281"/>
      <c r="AG65" s="280"/>
      <c r="AH65" s="281"/>
      <c r="AI65" s="280"/>
      <c r="AJ65" s="281"/>
      <c r="AK65" s="280"/>
      <c r="AL65" s="281"/>
      <c r="AM65" s="66"/>
      <c r="AN65" s="331"/>
      <c r="AO65" s="121"/>
      <c r="AP65" s="121"/>
      <c r="AQ65" s="121"/>
      <c r="AR65" s="121"/>
      <c r="AS65" s="121"/>
      <c r="AT65" s="121"/>
    </row>
    <row r="66" spans="1:46" ht="18" hidden="1" customHeight="1" x14ac:dyDescent="0.3">
      <c r="A66" s="331">
        <v>54</v>
      </c>
      <c r="B66" s="321"/>
      <c r="C66" s="284"/>
      <c r="D66" s="285"/>
      <c r="E66" s="331"/>
      <c r="F66" s="66"/>
      <c r="G66" s="66"/>
      <c r="H66" s="336"/>
      <c r="I66" s="336"/>
      <c r="J66" s="336"/>
      <c r="K66" s="66"/>
      <c r="L66" s="336"/>
      <c r="M66" s="331"/>
      <c r="N66" s="336"/>
      <c r="O66" s="280"/>
      <c r="P66" s="281"/>
      <c r="Q66" s="280"/>
      <c r="R66" s="281"/>
      <c r="S66" s="280"/>
      <c r="T66" s="281"/>
      <c r="U66" s="280"/>
      <c r="V66" s="281"/>
      <c r="W66" s="280"/>
      <c r="X66" s="281"/>
      <c r="Y66" s="280"/>
      <c r="Z66" s="281"/>
      <c r="AA66" s="280"/>
      <c r="AB66" s="281"/>
      <c r="AC66" s="280"/>
      <c r="AD66" s="281"/>
      <c r="AE66" s="280"/>
      <c r="AF66" s="281"/>
      <c r="AG66" s="280"/>
      <c r="AH66" s="281"/>
      <c r="AI66" s="280"/>
      <c r="AJ66" s="281"/>
      <c r="AK66" s="280"/>
      <c r="AL66" s="281"/>
      <c r="AM66" s="66"/>
      <c r="AN66" s="331"/>
      <c r="AO66" s="121"/>
      <c r="AP66" s="121"/>
      <c r="AQ66" s="121"/>
      <c r="AR66" s="121"/>
      <c r="AS66" s="121"/>
      <c r="AT66" s="121"/>
    </row>
    <row r="67" spans="1:46" ht="18" hidden="1" customHeight="1" x14ac:dyDescent="0.3">
      <c r="A67" s="331">
        <v>55</v>
      </c>
      <c r="B67" s="321"/>
      <c r="C67" s="284"/>
      <c r="D67" s="285"/>
      <c r="E67" s="331"/>
      <c r="F67" s="66"/>
      <c r="G67" s="66"/>
      <c r="H67" s="336"/>
      <c r="I67" s="336"/>
      <c r="J67" s="336"/>
      <c r="K67" s="66"/>
      <c r="L67" s="336"/>
      <c r="M67" s="331"/>
      <c r="N67" s="336"/>
      <c r="O67" s="280"/>
      <c r="P67" s="281"/>
      <c r="Q67" s="280"/>
      <c r="R67" s="281"/>
      <c r="S67" s="280"/>
      <c r="T67" s="281"/>
      <c r="U67" s="280"/>
      <c r="V67" s="281"/>
      <c r="W67" s="280"/>
      <c r="X67" s="281"/>
      <c r="Y67" s="280"/>
      <c r="Z67" s="281"/>
      <c r="AA67" s="280"/>
      <c r="AB67" s="281"/>
      <c r="AC67" s="280"/>
      <c r="AD67" s="281"/>
      <c r="AE67" s="280"/>
      <c r="AF67" s="281"/>
      <c r="AG67" s="280"/>
      <c r="AH67" s="281"/>
      <c r="AI67" s="280"/>
      <c r="AJ67" s="281"/>
      <c r="AK67" s="280"/>
      <c r="AL67" s="281"/>
      <c r="AM67" s="66"/>
      <c r="AN67" s="331"/>
      <c r="AO67" s="121"/>
      <c r="AP67" s="121"/>
      <c r="AQ67" s="121"/>
      <c r="AR67" s="121"/>
      <c r="AS67" s="121"/>
      <c r="AT67" s="121"/>
    </row>
    <row r="68" spans="1:46" ht="18" hidden="1" customHeight="1" x14ac:dyDescent="0.3">
      <c r="A68" s="331">
        <v>56</v>
      </c>
      <c r="B68" s="321"/>
      <c r="C68" s="284"/>
      <c r="D68" s="285"/>
      <c r="E68" s="331"/>
      <c r="F68" s="66"/>
      <c r="G68" s="66"/>
      <c r="H68" s="336"/>
      <c r="I68" s="336"/>
      <c r="J68" s="336"/>
      <c r="K68" s="66"/>
      <c r="L68" s="336"/>
      <c r="M68" s="331"/>
      <c r="N68" s="336"/>
      <c r="O68" s="280"/>
      <c r="P68" s="281"/>
      <c r="Q68" s="280"/>
      <c r="R68" s="281"/>
      <c r="S68" s="280"/>
      <c r="T68" s="281"/>
      <c r="U68" s="280"/>
      <c r="V68" s="281"/>
      <c r="W68" s="280"/>
      <c r="X68" s="281"/>
      <c r="Y68" s="280"/>
      <c r="Z68" s="281"/>
      <c r="AA68" s="280"/>
      <c r="AB68" s="281"/>
      <c r="AC68" s="280"/>
      <c r="AD68" s="281"/>
      <c r="AE68" s="280"/>
      <c r="AF68" s="281"/>
      <c r="AG68" s="280"/>
      <c r="AH68" s="281"/>
      <c r="AI68" s="280"/>
      <c r="AJ68" s="281"/>
      <c r="AK68" s="280"/>
      <c r="AL68" s="281"/>
      <c r="AM68" s="66"/>
      <c r="AN68" s="331"/>
      <c r="AO68" s="121"/>
      <c r="AP68" s="121"/>
      <c r="AQ68" s="121"/>
      <c r="AR68" s="121"/>
      <c r="AS68" s="121"/>
      <c r="AT68" s="121"/>
    </row>
    <row r="69" spans="1:46" ht="18" hidden="1" customHeight="1" x14ac:dyDescent="0.3">
      <c r="A69" s="331">
        <v>57</v>
      </c>
      <c r="B69" s="321"/>
      <c r="C69" s="284"/>
      <c r="D69" s="285"/>
      <c r="E69" s="331"/>
      <c r="F69" s="66"/>
      <c r="G69" s="66"/>
      <c r="H69" s="336"/>
      <c r="I69" s="336"/>
      <c r="J69" s="336"/>
      <c r="K69" s="66"/>
      <c r="L69" s="336"/>
      <c r="M69" s="331"/>
      <c r="N69" s="336"/>
      <c r="O69" s="280"/>
      <c r="P69" s="281"/>
      <c r="Q69" s="280"/>
      <c r="R69" s="281"/>
      <c r="S69" s="280"/>
      <c r="T69" s="281"/>
      <c r="U69" s="280"/>
      <c r="V69" s="281"/>
      <c r="W69" s="280"/>
      <c r="X69" s="281"/>
      <c r="Y69" s="280"/>
      <c r="Z69" s="281"/>
      <c r="AA69" s="280"/>
      <c r="AB69" s="281"/>
      <c r="AC69" s="280"/>
      <c r="AD69" s="281"/>
      <c r="AE69" s="280"/>
      <c r="AF69" s="281"/>
      <c r="AG69" s="280"/>
      <c r="AH69" s="281"/>
      <c r="AI69" s="280"/>
      <c r="AJ69" s="281"/>
      <c r="AK69" s="280"/>
      <c r="AL69" s="281"/>
      <c r="AM69" s="66"/>
      <c r="AN69" s="331"/>
      <c r="AO69" s="121"/>
      <c r="AP69" s="121"/>
      <c r="AQ69" s="121"/>
      <c r="AR69" s="121"/>
      <c r="AS69" s="121"/>
      <c r="AT69" s="121"/>
    </row>
    <row r="70" spans="1:46" ht="18" hidden="1" customHeight="1" x14ac:dyDescent="0.3">
      <c r="A70" s="331">
        <v>58</v>
      </c>
      <c r="B70" s="321"/>
      <c r="C70" s="284"/>
      <c r="D70" s="285"/>
      <c r="E70" s="331"/>
      <c r="F70" s="66"/>
      <c r="G70" s="66"/>
      <c r="H70" s="336"/>
      <c r="I70" s="336"/>
      <c r="J70" s="336"/>
      <c r="K70" s="66"/>
      <c r="L70" s="336"/>
      <c r="M70" s="331"/>
      <c r="N70" s="336"/>
      <c r="O70" s="280"/>
      <c r="P70" s="281"/>
      <c r="Q70" s="280"/>
      <c r="R70" s="281"/>
      <c r="S70" s="280"/>
      <c r="T70" s="281"/>
      <c r="U70" s="280"/>
      <c r="V70" s="281"/>
      <c r="W70" s="280"/>
      <c r="X70" s="281"/>
      <c r="Y70" s="280"/>
      <c r="Z70" s="281"/>
      <c r="AA70" s="280"/>
      <c r="AB70" s="281"/>
      <c r="AC70" s="280"/>
      <c r="AD70" s="281"/>
      <c r="AE70" s="280"/>
      <c r="AF70" s="281"/>
      <c r="AG70" s="280"/>
      <c r="AH70" s="281"/>
      <c r="AI70" s="280"/>
      <c r="AJ70" s="281"/>
      <c r="AK70" s="280"/>
      <c r="AL70" s="281"/>
      <c r="AM70" s="66"/>
      <c r="AN70" s="331"/>
      <c r="AO70" s="121"/>
      <c r="AP70" s="121"/>
      <c r="AQ70" s="121"/>
      <c r="AR70" s="121"/>
      <c r="AS70" s="121"/>
      <c r="AT70" s="121"/>
    </row>
    <row r="71" spans="1:46" ht="18" hidden="1" customHeight="1" x14ac:dyDescent="0.3">
      <c r="A71" s="331">
        <v>59</v>
      </c>
      <c r="B71" s="321"/>
      <c r="C71" s="284"/>
      <c r="D71" s="285"/>
      <c r="E71" s="331"/>
      <c r="F71" s="66"/>
      <c r="G71" s="66"/>
      <c r="H71" s="336"/>
      <c r="I71" s="336"/>
      <c r="J71" s="336"/>
      <c r="K71" s="66"/>
      <c r="L71" s="336"/>
      <c r="M71" s="331"/>
      <c r="N71" s="336"/>
      <c r="O71" s="280"/>
      <c r="P71" s="281"/>
      <c r="Q71" s="280"/>
      <c r="R71" s="281"/>
      <c r="S71" s="280"/>
      <c r="T71" s="281"/>
      <c r="U71" s="280"/>
      <c r="V71" s="281"/>
      <c r="W71" s="280"/>
      <c r="X71" s="281"/>
      <c r="Y71" s="280"/>
      <c r="Z71" s="281"/>
      <c r="AA71" s="280"/>
      <c r="AB71" s="281"/>
      <c r="AC71" s="280"/>
      <c r="AD71" s="281"/>
      <c r="AE71" s="280"/>
      <c r="AF71" s="281"/>
      <c r="AG71" s="280"/>
      <c r="AH71" s="281"/>
      <c r="AI71" s="280"/>
      <c r="AJ71" s="281"/>
      <c r="AK71" s="280"/>
      <c r="AL71" s="281"/>
      <c r="AM71" s="66"/>
      <c r="AN71" s="331"/>
      <c r="AO71" s="121"/>
      <c r="AP71" s="121"/>
      <c r="AQ71" s="121"/>
      <c r="AR71" s="121"/>
      <c r="AS71" s="121"/>
      <c r="AT71" s="121"/>
    </row>
    <row r="72" spans="1:46" ht="18" hidden="1" customHeight="1" x14ac:dyDescent="0.3">
      <c r="A72" s="331">
        <v>60</v>
      </c>
      <c r="B72" s="321"/>
      <c r="C72" s="284"/>
      <c r="D72" s="285"/>
      <c r="E72" s="331"/>
      <c r="F72" s="66"/>
      <c r="G72" s="66"/>
      <c r="H72" s="336"/>
      <c r="I72" s="336"/>
      <c r="J72" s="336"/>
      <c r="K72" s="66"/>
      <c r="L72" s="336"/>
      <c r="M72" s="331"/>
      <c r="N72" s="336"/>
      <c r="O72" s="280"/>
      <c r="P72" s="281"/>
      <c r="Q72" s="280"/>
      <c r="R72" s="281"/>
      <c r="S72" s="280"/>
      <c r="T72" s="281"/>
      <c r="U72" s="280"/>
      <c r="V72" s="281"/>
      <c r="W72" s="280"/>
      <c r="X72" s="281"/>
      <c r="Y72" s="280"/>
      <c r="Z72" s="281"/>
      <c r="AA72" s="280"/>
      <c r="AB72" s="281"/>
      <c r="AC72" s="280"/>
      <c r="AD72" s="281"/>
      <c r="AE72" s="280"/>
      <c r="AF72" s="281"/>
      <c r="AG72" s="280"/>
      <c r="AH72" s="281"/>
      <c r="AI72" s="280"/>
      <c r="AJ72" s="281"/>
      <c r="AK72" s="280"/>
      <c r="AL72" s="281"/>
      <c r="AM72" s="66"/>
      <c r="AN72" s="331"/>
      <c r="AO72" s="121"/>
      <c r="AP72" s="121"/>
      <c r="AQ72" s="121"/>
      <c r="AR72" s="121"/>
      <c r="AS72" s="121"/>
      <c r="AT72" s="121"/>
    </row>
    <row r="73" spans="1:46" ht="18" hidden="1" customHeight="1" x14ac:dyDescent="0.3">
      <c r="A73" s="331">
        <v>61</v>
      </c>
      <c r="B73" s="321"/>
      <c r="C73" s="284"/>
      <c r="D73" s="285"/>
      <c r="E73" s="331"/>
      <c r="F73" s="66"/>
      <c r="G73" s="66"/>
      <c r="H73" s="336"/>
      <c r="I73" s="336"/>
      <c r="J73" s="336"/>
      <c r="K73" s="66"/>
      <c r="L73" s="336"/>
      <c r="M73" s="331"/>
      <c r="N73" s="336"/>
      <c r="O73" s="280"/>
      <c r="P73" s="281"/>
      <c r="Q73" s="280"/>
      <c r="R73" s="281"/>
      <c r="S73" s="280"/>
      <c r="T73" s="281"/>
      <c r="U73" s="280"/>
      <c r="V73" s="281"/>
      <c r="W73" s="280"/>
      <c r="X73" s="281"/>
      <c r="Y73" s="280"/>
      <c r="Z73" s="281"/>
      <c r="AA73" s="280"/>
      <c r="AB73" s="281"/>
      <c r="AC73" s="280"/>
      <c r="AD73" s="281"/>
      <c r="AE73" s="280"/>
      <c r="AF73" s="281"/>
      <c r="AG73" s="280"/>
      <c r="AH73" s="281"/>
      <c r="AI73" s="280"/>
      <c r="AJ73" s="281"/>
      <c r="AK73" s="280"/>
      <c r="AL73" s="281"/>
      <c r="AM73" s="66"/>
      <c r="AN73" s="331"/>
      <c r="AO73" s="121"/>
      <c r="AP73" s="121"/>
      <c r="AQ73" s="121"/>
      <c r="AR73" s="121"/>
      <c r="AS73" s="121"/>
      <c r="AT73" s="121"/>
    </row>
    <row r="74" spans="1:46" ht="18" hidden="1" customHeight="1" x14ac:dyDescent="0.3">
      <c r="A74" s="331">
        <v>62</v>
      </c>
      <c r="B74" s="321"/>
      <c r="C74" s="284"/>
      <c r="D74" s="285"/>
      <c r="E74" s="331"/>
      <c r="F74" s="66"/>
      <c r="G74" s="66"/>
      <c r="H74" s="336"/>
      <c r="I74" s="336"/>
      <c r="J74" s="336"/>
      <c r="K74" s="66"/>
      <c r="L74" s="336"/>
      <c r="M74" s="331"/>
      <c r="N74" s="336"/>
      <c r="O74" s="280"/>
      <c r="P74" s="281"/>
      <c r="Q74" s="280"/>
      <c r="R74" s="281"/>
      <c r="S74" s="280"/>
      <c r="T74" s="281"/>
      <c r="U74" s="280"/>
      <c r="V74" s="281"/>
      <c r="W74" s="280"/>
      <c r="X74" s="281"/>
      <c r="Y74" s="280"/>
      <c r="Z74" s="281"/>
      <c r="AA74" s="280"/>
      <c r="AB74" s="281"/>
      <c r="AC74" s="280"/>
      <c r="AD74" s="281"/>
      <c r="AE74" s="280"/>
      <c r="AF74" s="281"/>
      <c r="AG74" s="280"/>
      <c r="AH74" s="281"/>
      <c r="AI74" s="280"/>
      <c r="AJ74" s="281"/>
      <c r="AK74" s="280"/>
      <c r="AL74" s="281"/>
      <c r="AM74" s="66"/>
      <c r="AN74" s="331"/>
      <c r="AO74" s="121"/>
      <c r="AP74" s="121"/>
      <c r="AQ74" s="121"/>
      <c r="AR74" s="121"/>
      <c r="AS74" s="121"/>
      <c r="AT74" s="121"/>
    </row>
    <row r="75" spans="1:46" ht="18" hidden="1" customHeight="1" x14ac:dyDescent="0.3">
      <c r="A75" s="331">
        <v>63</v>
      </c>
      <c r="B75" s="321"/>
      <c r="C75" s="284"/>
      <c r="D75" s="285"/>
      <c r="E75" s="331"/>
      <c r="F75" s="66"/>
      <c r="G75" s="66"/>
      <c r="H75" s="336"/>
      <c r="I75" s="336"/>
      <c r="J75" s="336"/>
      <c r="K75" s="66"/>
      <c r="L75" s="336"/>
      <c r="M75" s="331"/>
      <c r="N75" s="336"/>
      <c r="O75" s="280"/>
      <c r="P75" s="281"/>
      <c r="Q75" s="280"/>
      <c r="R75" s="281"/>
      <c r="S75" s="280"/>
      <c r="T75" s="281"/>
      <c r="U75" s="280"/>
      <c r="V75" s="281"/>
      <c r="W75" s="280"/>
      <c r="X75" s="281"/>
      <c r="Y75" s="280"/>
      <c r="Z75" s="281"/>
      <c r="AA75" s="280"/>
      <c r="AB75" s="281"/>
      <c r="AC75" s="280"/>
      <c r="AD75" s="281"/>
      <c r="AE75" s="280"/>
      <c r="AF75" s="281"/>
      <c r="AG75" s="280"/>
      <c r="AH75" s="281"/>
      <c r="AI75" s="280"/>
      <c r="AJ75" s="281"/>
      <c r="AK75" s="280"/>
      <c r="AL75" s="281"/>
      <c r="AM75" s="66"/>
      <c r="AN75" s="331"/>
      <c r="AO75" s="121"/>
      <c r="AP75" s="121"/>
      <c r="AQ75" s="121"/>
      <c r="AR75" s="121"/>
      <c r="AS75" s="121"/>
      <c r="AT75" s="121"/>
    </row>
    <row r="76" spans="1:46" ht="18" hidden="1" customHeight="1" x14ac:dyDescent="0.3">
      <c r="A76" s="331">
        <v>64</v>
      </c>
      <c r="B76" s="321"/>
      <c r="C76" s="284"/>
      <c r="D76" s="285"/>
      <c r="E76" s="331"/>
      <c r="F76" s="66"/>
      <c r="G76" s="66"/>
      <c r="H76" s="336"/>
      <c r="I76" s="336"/>
      <c r="J76" s="336"/>
      <c r="K76" s="66"/>
      <c r="L76" s="336"/>
      <c r="M76" s="331"/>
      <c r="N76" s="336"/>
      <c r="O76" s="280"/>
      <c r="P76" s="281"/>
      <c r="Q76" s="280"/>
      <c r="R76" s="281"/>
      <c r="S76" s="280"/>
      <c r="T76" s="281"/>
      <c r="U76" s="280"/>
      <c r="V76" s="281"/>
      <c r="W76" s="280"/>
      <c r="X76" s="281"/>
      <c r="Y76" s="280"/>
      <c r="Z76" s="281"/>
      <c r="AA76" s="280"/>
      <c r="AB76" s="281"/>
      <c r="AC76" s="280"/>
      <c r="AD76" s="281"/>
      <c r="AE76" s="280"/>
      <c r="AF76" s="281"/>
      <c r="AG76" s="280"/>
      <c r="AH76" s="281"/>
      <c r="AI76" s="280"/>
      <c r="AJ76" s="281"/>
      <c r="AK76" s="280"/>
      <c r="AL76" s="281"/>
      <c r="AM76" s="66"/>
      <c r="AN76" s="331"/>
      <c r="AO76" s="121"/>
      <c r="AP76" s="121"/>
      <c r="AQ76" s="121"/>
      <c r="AR76" s="121"/>
      <c r="AS76" s="121"/>
      <c r="AT76" s="121"/>
    </row>
    <row r="77" spans="1:46" ht="18" hidden="1" customHeight="1" x14ac:dyDescent="0.3">
      <c r="A77" s="331">
        <v>65</v>
      </c>
      <c r="B77" s="321"/>
      <c r="C77" s="284"/>
      <c r="D77" s="285"/>
      <c r="E77" s="331"/>
      <c r="F77" s="66"/>
      <c r="G77" s="66"/>
      <c r="H77" s="336"/>
      <c r="I77" s="336"/>
      <c r="J77" s="336"/>
      <c r="K77" s="66"/>
      <c r="L77" s="336"/>
      <c r="M77" s="331"/>
      <c r="N77" s="336"/>
      <c r="O77" s="280"/>
      <c r="P77" s="281"/>
      <c r="Q77" s="280"/>
      <c r="R77" s="281"/>
      <c r="S77" s="280"/>
      <c r="T77" s="281"/>
      <c r="U77" s="280"/>
      <c r="V77" s="281"/>
      <c r="W77" s="280"/>
      <c r="X77" s="281"/>
      <c r="Y77" s="280"/>
      <c r="Z77" s="281"/>
      <c r="AA77" s="280"/>
      <c r="AB77" s="281"/>
      <c r="AC77" s="280"/>
      <c r="AD77" s="281"/>
      <c r="AE77" s="280"/>
      <c r="AF77" s="281"/>
      <c r="AG77" s="280"/>
      <c r="AH77" s="281"/>
      <c r="AI77" s="280"/>
      <c r="AJ77" s="281"/>
      <c r="AK77" s="280"/>
      <c r="AL77" s="281"/>
      <c r="AM77" s="66"/>
      <c r="AN77" s="331"/>
      <c r="AO77" s="121"/>
      <c r="AP77" s="121"/>
      <c r="AQ77" s="121"/>
      <c r="AR77" s="121"/>
      <c r="AS77" s="121"/>
      <c r="AT77" s="121"/>
    </row>
    <row r="78" spans="1:46" ht="18" hidden="1" customHeight="1" x14ac:dyDescent="0.3">
      <c r="A78" s="346">
        <v>66</v>
      </c>
      <c r="B78" s="321"/>
      <c r="C78" s="284"/>
      <c r="D78" s="285"/>
      <c r="E78" s="346"/>
      <c r="F78" s="66"/>
      <c r="G78" s="66"/>
      <c r="H78" s="347"/>
      <c r="I78" s="347"/>
      <c r="J78" s="347"/>
      <c r="K78" s="66"/>
      <c r="L78" s="347"/>
      <c r="M78" s="346"/>
      <c r="N78" s="347"/>
      <c r="O78" s="280"/>
      <c r="P78" s="281"/>
      <c r="Q78" s="280"/>
      <c r="R78" s="281"/>
      <c r="S78" s="280"/>
      <c r="T78" s="281"/>
      <c r="U78" s="280"/>
      <c r="V78" s="281"/>
      <c r="W78" s="280"/>
      <c r="X78" s="281"/>
      <c r="Y78" s="280"/>
      <c r="Z78" s="281"/>
      <c r="AA78" s="280"/>
      <c r="AB78" s="281"/>
      <c r="AC78" s="280"/>
      <c r="AD78" s="281"/>
      <c r="AE78" s="280"/>
      <c r="AF78" s="281"/>
      <c r="AG78" s="280"/>
      <c r="AH78" s="281"/>
      <c r="AI78" s="280"/>
      <c r="AJ78" s="281"/>
      <c r="AK78" s="280"/>
      <c r="AL78" s="281"/>
      <c r="AM78" s="66"/>
      <c r="AN78" s="331"/>
      <c r="AO78" s="121"/>
      <c r="AP78" s="121"/>
      <c r="AQ78" s="121"/>
      <c r="AR78" s="121"/>
      <c r="AS78" s="121"/>
      <c r="AT78" s="121"/>
    </row>
    <row r="79" spans="1:46" ht="18" hidden="1" customHeight="1" x14ac:dyDescent="0.3">
      <c r="A79" s="349">
        <v>67</v>
      </c>
      <c r="B79" s="321"/>
      <c r="C79" s="284"/>
      <c r="D79" s="285"/>
      <c r="E79" s="349"/>
      <c r="F79" s="66"/>
      <c r="G79" s="66"/>
      <c r="H79" s="351"/>
      <c r="I79" s="351"/>
      <c r="J79" s="351"/>
      <c r="K79" s="66"/>
      <c r="L79" s="351"/>
      <c r="M79" s="349"/>
      <c r="N79" s="351"/>
      <c r="O79" s="280"/>
      <c r="P79" s="281"/>
      <c r="Q79" s="280"/>
      <c r="R79" s="281"/>
      <c r="S79" s="280"/>
      <c r="T79" s="281"/>
      <c r="U79" s="280"/>
      <c r="V79" s="281"/>
      <c r="W79" s="280"/>
      <c r="X79" s="281"/>
      <c r="Y79" s="280"/>
      <c r="Z79" s="281"/>
      <c r="AA79" s="280"/>
      <c r="AB79" s="281"/>
      <c r="AC79" s="280"/>
      <c r="AD79" s="281"/>
      <c r="AE79" s="280"/>
      <c r="AF79" s="281"/>
      <c r="AG79" s="280"/>
      <c r="AH79" s="281"/>
      <c r="AI79" s="280"/>
      <c r="AJ79" s="281"/>
      <c r="AK79" s="280"/>
      <c r="AL79" s="281"/>
      <c r="AM79" s="66"/>
      <c r="AN79" s="346"/>
      <c r="AO79" s="121"/>
      <c r="AP79" s="121"/>
      <c r="AQ79" s="121"/>
      <c r="AR79" s="121"/>
      <c r="AS79" s="121"/>
      <c r="AT79" s="121"/>
    </row>
    <row r="80" spans="1:46" ht="18" hidden="1" customHeight="1" x14ac:dyDescent="0.3">
      <c r="A80" s="373">
        <v>68</v>
      </c>
      <c r="B80" s="321"/>
      <c r="C80" s="284"/>
      <c r="D80" s="285"/>
      <c r="E80" s="373"/>
      <c r="F80" s="66"/>
      <c r="G80" s="66"/>
      <c r="H80" s="375"/>
      <c r="I80" s="375"/>
      <c r="J80" s="375"/>
      <c r="K80" s="66"/>
      <c r="L80" s="375"/>
      <c r="M80" s="373"/>
      <c r="N80" s="375"/>
      <c r="O80" s="280"/>
      <c r="P80" s="281"/>
      <c r="Q80" s="280"/>
      <c r="R80" s="281"/>
      <c r="S80" s="280"/>
      <c r="T80" s="281"/>
      <c r="U80" s="280"/>
      <c r="V80" s="281"/>
      <c r="W80" s="280"/>
      <c r="X80" s="281"/>
      <c r="Y80" s="280"/>
      <c r="Z80" s="281"/>
      <c r="AA80" s="280"/>
      <c r="AB80" s="281"/>
      <c r="AC80" s="280"/>
      <c r="AD80" s="281"/>
      <c r="AE80" s="280"/>
      <c r="AF80" s="281"/>
      <c r="AG80" s="280"/>
      <c r="AH80" s="281"/>
      <c r="AI80" s="280"/>
      <c r="AJ80" s="281"/>
      <c r="AK80" s="280"/>
      <c r="AL80" s="281"/>
      <c r="AM80" s="66"/>
      <c r="AN80" s="373"/>
      <c r="AO80" s="121"/>
      <c r="AP80" s="121"/>
      <c r="AQ80" s="121"/>
      <c r="AR80" s="121"/>
      <c r="AS80" s="121"/>
      <c r="AT80" s="121"/>
    </row>
    <row r="81" spans="1:46" ht="18" hidden="1" customHeight="1" x14ac:dyDescent="0.3">
      <c r="A81" s="373">
        <v>69</v>
      </c>
      <c r="B81" s="321"/>
      <c r="C81" s="284"/>
      <c r="D81" s="285"/>
      <c r="E81" s="373"/>
      <c r="F81" s="66"/>
      <c r="G81" s="66"/>
      <c r="H81" s="375"/>
      <c r="I81" s="375"/>
      <c r="J81" s="375"/>
      <c r="K81" s="66"/>
      <c r="L81" s="375"/>
      <c r="M81" s="373"/>
      <c r="N81" s="375"/>
      <c r="O81" s="280"/>
      <c r="P81" s="281"/>
      <c r="Q81" s="280"/>
      <c r="R81" s="281"/>
      <c r="S81" s="280"/>
      <c r="T81" s="281"/>
      <c r="U81" s="280"/>
      <c r="V81" s="281"/>
      <c r="W81" s="280"/>
      <c r="X81" s="281"/>
      <c r="Y81" s="280"/>
      <c r="Z81" s="281"/>
      <c r="AA81" s="280"/>
      <c r="AB81" s="281"/>
      <c r="AC81" s="280"/>
      <c r="AD81" s="281"/>
      <c r="AE81" s="280"/>
      <c r="AF81" s="281"/>
      <c r="AG81" s="280"/>
      <c r="AH81" s="281"/>
      <c r="AI81" s="280"/>
      <c r="AJ81" s="281"/>
      <c r="AK81" s="280"/>
      <c r="AL81" s="281"/>
      <c r="AM81" s="66"/>
      <c r="AN81" s="373"/>
      <c r="AO81" s="121"/>
      <c r="AP81" s="121"/>
      <c r="AQ81" s="121"/>
      <c r="AR81" s="121"/>
      <c r="AS81" s="121"/>
      <c r="AT81" s="121"/>
    </row>
    <row r="82" spans="1:46" ht="18" hidden="1" customHeight="1" x14ac:dyDescent="0.3">
      <c r="A82" s="373">
        <v>70</v>
      </c>
      <c r="B82" s="321"/>
      <c r="C82" s="284"/>
      <c r="D82" s="285"/>
      <c r="E82" s="373"/>
      <c r="F82" s="66"/>
      <c r="G82" s="66"/>
      <c r="H82" s="375"/>
      <c r="I82" s="375"/>
      <c r="J82" s="375"/>
      <c r="K82" s="66"/>
      <c r="L82" s="375"/>
      <c r="M82" s="373"/>
      <c r="N82" s="375"/>
      <c r="O82" s="280"/>
      <c r="P82" s="281"/>
      <c r="Q82" s="280"/>
      <c r="R82" s="281"/>
      <c r="S82" s="280"/>
      <c r="T82" s="281"/>
      <c r="U82" s="280"/>
      <c r="V82" s="281"/>
      <c r="W82" s="280"/>
      <c r="X82" s="281"/>
      <c r="Y82" s="280"/>
      <c r="Z82" s="281"/>
      <c r="AA82" s="280"/>
      <c r="AB82" s="281"/>
      <c r="AC82" s="280"/>
      <c r="AD82" s="281"/>
      <c r="AE82" s="280"/>
      <c r="AF82" s="281"/>
      <c r="AG82" s="280"/>
      <c r="AH82" s="281"/>
      <c r="AI82" s="280"/>
      <c r="AJ82" s="281"/>
      <c r="AK82" s="280"/>
      <c r="AL82" s="281"/>
      <c r="AM82" s="66"/>
      <c r="AN82" s="373"/>
      <c r="AO82" s="121"/>
      <c r="AP82" s="121"/>
      <c r="AQ82" s="121"/>
      <c r="AR82" s="121"/>
      <c r="AS82" s="121"/>
      <c r="AT82" s="121"/>
    </row>
    <row r="83" spans="1:46" ht="18" hidden="1" customHeight="1" x14ac:dyDescent="0.3">
      <c r="A83" s="373">
        <v>71</v>
      </c>
      <c r="B83" s="321"/>
      <c r="C83" s="284"/>
      <c r="D83" s="285"/>
      <c r="E83" s="373"/>
      <c r="F83" s="66"/>
      <c r="G83" s="66"/>
      <c r="H83" s="375"/>
      <c r="I83" s="375"/>
      <c r="J83" s="375"/>
      <c r="K83" s="66"/>
      <c r="L83" s="375"/>
      <c r="M83" s="373"/>
      <c r="N83" s="375"/>
      <c r="O83" s="280"/>
      <c r="P83" s="281"/>
      <c r="Q83" s="280"/>
      <c r="R83" s="281"/>
      <c r="S83" s="280"/>
      <c r="T83" s="281"/>
      <c r="U83" s="280"/>
      <c r="V83" s="281"/>
      <c r="W83" s="280"/>
      <c r="X83" s="281"/>
      <c r="Y83" s="280"/>
      <c r="Z83" s="281"/>
      <c r="AA83" s="280"/>
      <c r="AB83" s="281"/>
      <c r="AC83" s="280"/>
      <c r="AD83" s="281"/>
      <c r="AE83" s="280"/>
      <c r="AF83" s="281"/>
      <c r="AG83" s="280"/>
      <c r="AH83" s="281"/>
      <c r="AI83" s="280"/>
      <c r="AJ83" s="281"/>
      <c r="AK83" s="280"/>
      <c r="AL83" s="281"/>
      <c r="AM83" s="66"/>
      <c r="AN83" s="373"/>
      <c r="AO83" s="121"/>
      <c r="AP83" s="121"/>
      <c r="AQ83" s="121"/>
      <c r="AR83" s="121"/>
      <c r="AS83" s="121"/>
      <c r="AT83" s="121"/>
    </row>
    <row r="84" spans="1:46" ht="18" hidden="1" customHeight="1" thickBot="1" x14ac:dyDescent="0.35">
      <c r="A84" s="303">
        <f>A83+1</f>
        <v>72</v>
      </c>
      <c r="B84" s="321"/>
      <c r="C84" s="304"/>
      <c r="D84" s="305"/>
      <c r="E84" s="303"/>
      <c r="F84" s="306"/>
      <c r="G84" s="306"/>
      <c r="H84" s="307"/>
      <c r="I84" s="307"/>
      <c r="J84" s="307"/>
      <c r="K84" s="306"/>
      <c r="L84" s="307"/>
      <c r="M84" s="303"/>
      <c r="N84" s="307"/>
      <c r="O84" s="280"/>
      <c r="P84" s="281"/>
      <c r="Q84" s="280"/>
      <c r="R84" s="281"/>
      <c r="S84" s="280"/>
      <c r="T84" s="281"/>
      <c r="U84" s="280"/>
      <c r="V84" s="281"/>
      <c r="W84" s="280"/>
      <c r="X84" s="281"/>
      <c r="Y84" s="280"/>
      <c r="Z84" s="281"/>
      <c r="AA84" s="280"/>
      <c r="AB84" s="281"/>
      <c r="AC84" s="280"/>
      <c r="AD84" s="281"/>
      <c r="AE84" s="280"/>
      <c r="AF84" s="281"/>
      <c r="AG84" s="280"/>
      <c r="AH84" s="281"/>
      <c r="AI84" s="280"/>
      <c r="AJ84" s="281"/>
      <c r="AK84" s="280"/>
      <c r="AL84" s="281"/>
      <c r="AM84" s="66"/>
      <c r="AN84" s="373"/>
      <c r="AO84" s="308"/>
      <c r="AP84" s="308"/>
      <c r="AQ84" s="308"/>
      <c r="AR84" s="308"/>
      <c r="AS84" s="308"/>
      <c r="AT84" s="308"/>
    </row>
    <row r="85" spans="1:46" ht="22.5" customHeight="1" thickTop="1" thickBot="1" x14ac:dyDescent="0.35">
      <c r="A85" s="263"/>
      <c r="B85" s="569" t="s">
        <v>617</v>
      </c>
      <c r="C85" s="264"/>
      <c r="D85" s="264"/>
      <c r="E85" s="264"/>
      <c r="F85" s="264"/>
      <c r="G85" s="264"/>
      <c r="H85" s="264"/>
      <c r="I85" s="264"/>
      <c r="J85" s="264"/>
      <c r="K85" s="264"/>
      <c r="L85" s="264"/>
      <c r="M85" s="264"/>
      <c r="N85" s="264"/>
      <c r="O85" s="265"/>
      <c r="P85" s="265"/>
      <c r="Q85" s="265"/>
      <c r="R85" s="265"/>
      <c r="S85" s="265"/>
      <c r="T85" s="265"/>
      <c r="U85" s="265"/>
      <c r="V85" s="265"/>
      <c r="W85" s="265"/>
      <c r="X85" s="265"/>
      <c r="Y85" s="265"/>
      <c r="Z85" s="265"/>
      <c r="AA85" s="265"/>
      <c r="AB85" s="265"/>
      <c r="AC85" s="265"/>
      <c r="AD85" s="265"/>
      <c r="AE85" s="265"/>
      <c r="AF85" s="265"/>
      <c r="AG85" s="265"/>
      <c r="AH85" s="265"/>
      <c r="AI85" s="265"/>
      <c r="AJ85" s="265"/>
      <c r="AK85" s="265"/>
      <c r="AL85" s="265"/>
      <c r="AM85" s="264"/>
      <c r="AN85" s="264"/>
      <c r="AO85" s="264"/>
      <c r="AP85" s="264"/>
      <c r="AQ85" s="264"/>
      <c r="AR85" s="264"/>
      <c r="AS85" s="264"/>
      <c r="AT85" s="264"/>
    </row>
    <row r="86" spans="1:46" ht="22.5" customHeight="1" thickTop="1" x14ac:dyDescent="0.3">
      <c r="A86" s="253" t="s">
        <v>570</v>
      </c>
      <c r="E86" s="335">
        <f>COUNTA($B$8:$B$84)-COUNTA(E8:E84)</f>
        <v>56</v>
      </c>
      <c r="H86" s="236">
        <f>SUMIF($E$8:$E$84,"",H8:H84)</f>
        <v>7070000</v>
      </c>
      <c r="I86" s="236">
        <f>SUMIF($E$8:$E$84,"",I8:I84)</f>
        <v>707000</v>
      </c>
      <c r="J86" s="236">
        <f>SUMIF($E$8:$E$84,"",J8:J84)</f>
        <v>7777000</v>
      </c>
      <c r="O86" s="262"/>
      <c r="P86" s="262"/>
      <c r="Q86" s="262"/>
      <c r="R86" s="262"/>
      <c r="S86" s="262"/>
      <c r="T86" s="262"/>
      <c r="U86" s="262"/>
      <c r="V86" s="262"/>
      <c r="W86" s="262"/>
      <c r="X86" s="262"/>
      <c r="Y86" s="262"/>
      <c r="Z86" s="262"/>
      <c r="AA86" s="262"/>
      <c r="AB86" s="262"/>
    </row>
    <row r="87" spans="1:46" x14ac:dyDescent="0.3">
      <c r="A87" s="254"/>
    </row>
    <row r="88" spans="1:46" x14ac:dyDescent="0.3">
      <c r="A88" s="254"/>
    </row>
    <row r="89" spans="1:46" x14ac:dyDescent="0.3">
      <c r="A89" s="254"/>
    </row>
    <row r="90" spans="1:46" x14ac:dyDescent="0.3">
      <c r="A90" s="254"/>
    </row>
    <row r="91" spans="1:46" x14ac:dyDescent="0.3">
      <c r="A91" s="254"/>
    </row>
    <row r="92" spans="1:46" x14ac:dyDescent="0.3">
      <c r="A92" s="254"/>
    </row>
    <row r="93" spans="1:46" x14ac:dyDescent="0.3">
      <c r="A93" s="254"/>
    </row>
    <row r="94" spans="1:46" x14ac:dyDescent="0.3">
      <c r="A94" s="254"/>
    </row>
    <row r="95" spans="1:46" x14ac:dyDescent="0.3">
      <c r="A95" s="254"/>
    </row>
    <row r="96" spans="1:46" x14ac:dyDescent="0.3">
      <c r="A96" s="254"/>
    </row>
  </sheetData>
  <autoFilter ref="A7:AT84" xr:uid="{99EBC53D-349D-4D84-AAC1-3B0A7D1330DF}">
    <filterColumn colId="38">
      <filters>
        <dateGroupItem year="2021" dateTimeGrouping="year"/>
      </filters>
    </filterColumn>
    <sortState xmlns:xlrd2="http://schemas.microsoft.com/office/spreadsheetml/2017/richdata2" ref="A8:AT86">
      <sortCondition ref="L7:L84"/>
    </sortState>
  </autoFilter>
  <mergeCells count="23">
    <mergeCell ref="AA6:AB6"/>
    <mergeCell ref="AM2:AN2"/>
    <mergeCell ref="AM3:AN3"/>
    <mergeCell ref="A5:N5"/>
    <mergeCell ref="O5:AL5"/>
    <mergeCell ref="AM5:AT5"/>
    <mergeCell ref="B6:D6"/>
    <mergeCell ref="E6:G6"/>
    <mergeCell ref="H6:J6"/>
    <mergeCell ref="K6:L6"/>
    <mergeCell ref="O6:P6"/>
    <mergeCell ref="Q6:R6"/>
    <mergeCell ref="S6:T6"/>
    <mergeCell ref="U6:V6"/>
    <mergeCell ref="W6:X6"/>
    <mergeCell ref="Y6:Z6"/>
    <mergeCell ref="AO6:AP6"/>
    <mergeCell ref="AC6:AD6"/>
    <mergeCell ref="AE6:AF6"/>
    <mergeCell ref="AG6:AH6"/>
    <mergeCell ref="AI6:AJ6"/>
    <mergeCell ref="AK6:AL6"/>
    <mergeCell ref="AM6:AN6"/>
  </mergeCells>
  <phoneticPr fontId="13" type="noConversion"/>
  <conditionalFormatting sqref="D8:D11 D44 D57 D23:D27 D30:D36 D38:D40 D59">
    <cfRule type="expression" dxfId="60" priority="63">
      <formula>LEFT($C8)=LEFT($D8)</formula>
    </cfRule>
  </conditionalFormatting>
  <conditionalFormatting sqref="D45:D52 D64:D84">
    <cfRule type="expression" dxfId="59" priority="62">
      <formula>LEFT($C45)=LEFT($D45)</formula>
    </cfRule>
  </conditionalFormatting>
  <conditionalFormatting sqref="AN8:AN11 AN23:AN27 AN30:AN36 AN38:AN40 AN44:AN52 AN57:AN58 AN60:AN84">
    <cfRule type="expression" dxfId="58" priority="59">
      <formula>AN8="월"</formula>
    </cfRule>
    <cfRule type="expression" dxfId="57" priority="60">
      <formula>AN8="일"</formula>
    </cfRule>
    <cfRule type="expression" dxfId="56" priority="61">
      <formula>AN8="토"</formula>
    </cfRule>
  </conditionalFormatting>
  <conditionalFormatting sqref="J8:J11 J44:J52 J23:J27 J30:J36 J38:J40 J57:J58 J60:J84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{D787062D-D1BA-44BC-AA0B-BD4C4AF10E45}</x14:id>
        </ext>
      </extLst>
    </cfRule>
  </conditionalFormatting>
  <conditionalFormatting sqref="D60:D61">
    <cfRule type="expression" dxfId="55" priority="45">
      <formula>LEFT($C60)=LEFT($D60)</formula>
    </cfRule>
  </conditionalFormatting>
  <conditionalFormatting sqref="D62">
    <cfRule type="expression" dxfId="54" priority="44">
      <formula>LEFT($C62)=LEFT($D62)</formula>
    </cfRule>
  </conditionalFormatting>
  <conditionalFormatting sqref="D63">
    <cfRule type="expression" dxfId="53" priority="43">
      <formula>LEFT($C63)=LEFT($D63)</formula>
    </cfRule>
  </conditionalFormatting>
  <conditionalFormatting sqref="D12:D22">
    <cfRule type="expression" dxfId="52" priority="42">
      <formula>LEFT($C12)=LEFT($D12)</formula>
    </cfRule>
  </conditionalFormatting>
  <conditionalFormatting sqref="AN12:AN22">
    <cfRule type="expression" dxfId="51" priority="39">
      <formula>AN12="월"</formula>
    </cfRule>
    <cfRule type="expression" dxfId="50" priority="40">
      <formula>AN12="일"</formula>
    </cfRule>
    <cfRule type="expression" dxfId="49" priority="41">
      <formula>AN12="토"</formula>
    </cfRule>
  </conditionalFormatting>
  <conditionalFormatting sqref="J12:J22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{4B4679CD-8CC5-4E7E-AA41-0D9F975DCE4C}</x14:id>
        </ext>
      </extLst>
    </cfRule>
  </conditionalFormatting>
  <conditionalFormatting sqref="J12:J22">
    <cfRule type="dataBar" priority="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{6A823CE2-A63E-4E9A-B3BB-C32B1C739C78}</x14:id>
        </ext>
      </extLst>
    </cfRule>
  </conditionalFormatting>
  <conditionalFormatting sqref="D29">
    <cfRule type="expression" dxfId="48" priority="36">
      <formula>LEFT($C29)=LEFT($D29)</formula>
    </cfRule>
  </conditionalFormatting>
  <conditionalFormatting sqref="AN29">
    <cfRule type="expression" dxfId="47" priority="33">
      <formula>AN29="월"</formula>
    </cfRule>
    <cfRule type="expression" dxfId="46" priority="34">
      <formula>AN29="일"</formula>
    </cfRule>
    <cfRule type="expression" dxfId="45" priority="35">
      <formula>AN29="토"</formula>
    </cfRule>
  </conditionalFormatting>
  <conditionalFormatting sqref="J2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{14B0594D-16C0-4133-94FC-4AC576013051}</x14:id>
        </ext>
      </extLst>
    </cfRule>
  </conditionalFormatting>
  <conditionalFormatting sqref="J29">
    <cfRule type="dataBar" priority="3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{4902B9D0-BB81-4475-8CBB-CB2291B2DBCF}</x14:id>
        </ext>
      </extLst>
    </cfRule>
  </conditionalFormatting>
  <conditionalFormatting sqref="D28">
    <cfRule type="expression" dxfId="44" priority="30">
      <formula>LEFT($C28)=LEFT($D28)</formula>
    </cfRule>
  </conditionalFormatting>
  <conditionalFormatting sqref="AN28">
    <cfRule type="expression" dxfId="43" priority="27">
      <formula>AN28="월"</formula>
    </cfRule>
    <cfRule type="expression" dxfId="42" priority="28">
      <formula>AN28="일"</formula>
    </cfRule>
    <cfRule type="expression" dxfId="41" priority="29">
      <formula>AN28="토"</formula>
    </cfRule>
  </conditionalFormatting>
  <conditionalFormatting sqref="J2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{3E02D84E-82E9-4515-AE78-74E366FDCA80}</x14:id>
        </ext>
      </extLst>
    </cfRule>
  </conditionalFormatting>
  <conditionalFormatting sqref="J28">
    <cfRule type="dataBar" priority="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{A7934B71-AF72-40AF-92E5-6E54BF5B4523}</x14:id>
        </ext>
      </extLst>
    </cfRule>
  </conditionalFormatting>
  <conditionalFormatting sqref="D37">
    <cfRule type="expression" dxfId="40" priority="24">
      <formula>LEFT($C37)=LEFT($D37)</formula>
    </cfRule>
  </conditionalFormatting>
  <conditionalFormatting sqref="AN37">
    <cfRule type="expression" dxfId="39" priority="21">
      <formula>AN37="월"</formula>
    </cfRule>
    <cfRule type="expression" dxfId="38" priority="22">
      <formula>AN37="일"</formula>
    </cfRule>
    <cfRule type="expression" dxfId="37" priority="23">
      <formula>AN37="토"</formula>
    </cfRule>
  </conditionalFormatting>
  <conditionalFormatting sqref="J37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{8DF8A1ED-3C01-4446-B068-A756B1EEFE1D}</x14:id>
        </ext>
      </extLst>
    </cfRule>
  </conditionalFormatting>
  <conditionalFormatting sqref="J37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{B13DF5D6-D46A-461F-8213-9DDC8BA1DA1C}</x14:id>
        </ext>
      </extLst>
    </cfRule>
  </conditionalFormatting>
  <conditionalFormatting sqref="D41:D43">
    <cfRule type="expression" dxfId="36" priority="18">
      <formula>LEFT($C41)=LEFT($D41)</formula>
    </cfRule>
  </conditionalFormatting>
  <conditionalFormatting sqref="AN41:AN43">
    <cfRule type="expression" dxfId="35" priority="15">
      <formula>AN41="월"</formula>
    </cfRule>
    <cfRule type="expression" dxfId="34" priority="16">
      <formula>AN41="일"</formula>
    </cfRule>
    <cfRule type="expression" dxfId="33" priority="17">
      <formula>AN41="토"</formula>
    </cfRule>
  </conditionalFormatting>
  <conditionalFormatting sqref="J41:J43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{5043B6F6-F30E-4A4D-9C82-64AACE20E80C}</x14:id>
        </ext>
      </extLst>
    </cfRule>
  </conditionalFormatting>
  <conditionalFormatting sqref="J41:J43">
    <cfRule type="dataBar" priority="1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{49DBC4AC-B0B3-4F16-A340-1630E4B44E61}</x14:id>
        </ext>
      </extLst>
    </cfRule>
  </conditionalFormatting>
  <conditionalFormatting sqref="J8:J11 J23:J27 J30:J36 J38:J40 J44:J52 J57:J58">
    <cfRule type="dataBar" priority="10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{9554096C-3A7C-4E85-BD60-743AC1719A07}</x14:id>
        </ext>
      </extLst>
    </cfRule>
  </conditionalFormatting>
  <conditionalFormatting sqref="D53:D56">
    <cfRule type="expression" dxfId="32" priority="11">
      <formula>LEFT($C53)=LEFT($D53)</formula>
    </cfRule>
  </conditionalFormatting>
  <conditionalFormatting sqref="AN53:AN56">
    <cfRule type="expression" dxfId="31" priority="8">
      <formula>AN53="월"</formula>
    </cfRule>
    <cfRule type="expression" dxfId="30" priority="9">
      <formula>AN53="일"</formula>
    </cfRule>
    <cfRule type="expression" dxfId="29" priority="10">
      <formula>AN53="토"</formula>
    </cfRule>
  </conditionalFormatting>
  <conditionalFormatting sqref="J53:J5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{0F91F4AA-BD6E-4320-B12A-60EDBB67212E}</x14:id>
        </ext>
      </extLst>
    </cfRule>
  </conditionalFormatting>
  <conditionalFormatting sqref="J53:J56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{F05B9B29-44EE-4177-8CA4-CC3CB128CBE6}</x14:id>
        </ext>
      </extLst>
    </cfRule>
  </conditionalFormatting>
  <conditionalFormatting sqref="J59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{8E297502-C748-4C9C-8F05-A84F4E4A5DD6}</x14:id>
        </ext>
      </extLst>
    </cfRule>
  </conditionalFormatting>
  <conditionalFormatting sqref="J5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{FE209239-6AC8-4229-8EB0-3E97C28A244A}</x14:id>
        </ext>
      </extLst>
    </cfRule>
  </conditionalFormatting>
  <conditionalFormatting sqref="AN59">
    <cfRule type="expression" dxfId="28" priority="2">
      <formula>AN59="월"</formula>
    </cfRule>
    <cfRule type="expression" dxfId="27" priority="3">
      <formula>AN59="일"</formula>
    </cfRule>
    <cfRule type="expression" dxfId="26" priority="4">
      <formula>AN59="토"</formula>
    </cfRule>
  </conditionalFormatting>
  <conditionalFormatting sqref="J8:J79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{2B72A66E-EBD5-472C-B018-88FE5FE2142C}</x14:id>
        </ext>
      </extLst>
    </cfRule>
  </conditionalFormatting>
  <pageMargins left="0.23622047244094491" right="0.23622047244094491" top="0.59055118110236227" bottom="0.59055118110236227" header="0.31496062992125984" footer="0.31496062992125984"/>
  <pageSetup paperSize="9" scale="22" fitToHeight="0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787062D-D1BA-44BC-AA0B-BD4C4AF10E4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J8:J11 J44:J52 J23:J27 J30:J36 J38:J40 J57:J58 J60:J84</xm:sqref>
        </x14:conditionalFormatting>
        <x14:conditionalFormatting xmlns:xm="http://schemas.microsoft.com/office/excel/2006/main">
          <x14:cfRule type="dataBar" id="{4B4679CD-8CC5-4E7E-AA41-0D9F975DCE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J12:J22</xm:sqref>
        </x14:conditionalFormatting>
        <x14:conditionalFormatting xmlns:xm="http://schemas.microsoft.com/office/excel/2006/main">
          <x14:cfRule type="dataBar" id="{6A823CE2-A63E-4E9A-B3BB-C32B1C739C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J12:J22</xm:sqref>
        </x14:conditionalFormatting>
        <x14:conditionalFormatting xmlns:xm="http://schemas.microsoft.com/office/excel/2006/main">
          <x14:cfRule type="dataBar" id="{14B0594D-16C0-4133-94FC-4AC5760130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J29</xm:sqref>
        </x14:conditionalFormatting>
        <x14:conditionalFormatting xmlns:xm="http://schemas.microsoft.com/office/excel/2006/main">
          <x14:cfRule type="dataBar" id="{4902B9D0-BB81-4475-8CBB-CB2291B2DB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J29</xm:sqref>
        </x14:conditionalFormatting>
        <x14:conditionalFormatting xmlns:xm="http://schemas.microsoft.com/office/excel/2006/main">
          <x14:cfRule type="dataBar" id="{3E02D84E-82E9-4515-AE78-74E366FDCA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J28</xm:sqref>
        </x14:conditionalFormatting>
        <x14:conditionalFormatting xmlns:xm="http://schemas.microsoft.com/office/excel/2006/main">
          <x14:cfRule type="dataBar" id="{A7934B71-AF72-40AF-92E5-6E54BF5B45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J28</xm:sqref>
        </x14:conditionalFormatting>
        <x14:conditionalFormatting xmlns:xm="http://schemas.microsoft.com/office/excel/2006/main">
          <x14:cfRule type="dataBar" id="{8DF8A1ED-3C01-4446-B068-A756B1EEFE1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J37</xm:sqref>
        </x14:conditionalFormatting>
        <x14:conditionalFormatting xmlns:xm="http://schemas.microsoft.com/office/excel/2006/main">
          <x14:cfRule type="dataBar" id="{B13DF5D6-D46A-461F-8213-9DDC8BA1DA1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J37</xm:sqref>
        </x14:conditionalFormatting>
        <x14:conditionalFormatting xmlns:xm="http://schemas.microsoft.com/office/excel/2006/main">
          <x14:cfRule type="dataBar" id="{5043B6F6-F30E-4A4D-9C82-64AACE20E80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J41:J43</xm:sqref>
        </x14:conditionalFormatting>
        <x14:conditionalFormatting xmlns:xm="http://schemas.microsoft.com/office/excel/2006/main">
          <x14:cfRule type="dataBar" id="{49DBC4AC-B0B3-4F16-A340-1630E4B44E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J41:J43</xm:sqref>
        </x14:conditionalFormatting>
        <x14:conditionalFormatting xmlns:xm="http://schemas.microsoft.com/office/excel/2006/main">
          <x14:cfRule type="dataBar" id="{9554096C-3A7C-4E85-BD60-743AC1719A0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J8:J11 J23:J27 J30:J36 J38:J40 J44:J52 J57:J58</xm:sqref>
        </x14:conditionalFormatting>
        <x14:conditionalFormatting xmlns:xm="http://schemas.microsoft.com/office/excel/2006/main">
          <x14:cfRule type="dataBar" id="{0F91F4AA-BD6E-4320-B12A-60EDBB67212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J53:J56</xm:sqref>
        </x14:conditionalFormatting>
        <x14:conditionalFormatting xmlns:xm="http://schemas.microsoft.com/office/excel/2006/main">
          <x14:cfRule type="dataBar" id="{F05B9B29-44EE-4177-8CA4-CC3CB128CBE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J53:J56</xm:sqref>
        </x14:conditionalFormatting>
        <x14:conditionalFormatting xmlns:xm="http://schemas.microsoft.com/office/excel/2006/main">
          <x14:cfRule type="dataBar" id="{8E297502-C748-4C9C-8F05-A84F4E4A5D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J59</xm:sqref>
        </x14:conditionalFormatting>
        <x14:conditionalFormatting xmlns:xm="http://schemas.microsoft.com/office/excel/2006/main">
          <x14:cfRule type="dataBar" id="{FE209239-6AC8-4229-8EB0-3E97C28A244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J59</xm:sqref>
        </x14:conditionalFormatting>
        <x14:conditionalFormatting xmlns:xm="http://schemas.microsoft.com/office/excel/2006/main">
          <x14:cfRule type="dataBar" id="{2B72A66E-EBD5-472C-B018-88FE5FE214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J8:J79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8720A-4C4C-4B58-A743-7A35F398D4BC}">
  <sheetPr codeName="Sheet8">
    <pageSetUpPr fitToPage="1"/>
  </sheetPr>
  <dimension ref="A1:AX99"/>
  <sheetViews>
    <sheetView view="pageBreakPreview" topLeftCell="A21" zoomScale="70" zoomScaleNormal="70" zoomScaleSheetLayoutView="70" workbookViewId="0">
      <selection activeCell="C55" sqref="C55"/>
    </sheetView>
  </sheetViews>
  <sheetFormatPr defaultRowHeight="16.5" x14ac:dyDescent="0.3"/>
  <cols>
    <col min="1" max="1" width="5.625" bestFit="1" customWidth="1"/>
    <col min="2" max="2" width="21.625" customWidth="1"/>
    <col min="3" max="3" width="15.125" customWidth="1"/>
    <col min="4" max="4" width="21.875" customWidth="1"/>
    <col min="5" max="5" width="9" customWidth="1"/>
    <col min="6" max="7" width="14.375" customWidth="1"/>
    <col min="8" max="8" width="11.125" customWidth="1"/>
    <col min="9" max="10" width="11.125" style="252" customWidth="1"/>
    <col min="11" max="11" width="12.25" customWidth="1"/>
    <col min="12" max="12" width="11" customWidth="1"/>
    <col min="13" max="13" width="11" style="252" customWidth="1"/>
    <col min="14" max="14" width="15.125" style="252" customWidth="1"/>
    <col min="15" max="38" width="6.375" customWidth="1"/>
    <col min="39" max="39" width="12.25" customWidth="1"/>
    <col min="40" max="81" width="9" customWidth="1"/>
  </cols>
  <sheetData>
    <row r="1" spans="1:50" s="252" customFormat="1" x14ac:dyDescent="0.3"/>
    <row r="2" spans="1:50" s="252" customFormat="1" x14ac:dyDescent="0.3">
      <c r="AM2" s="430" t="s">
        <v>575</v>
      </c>
      <c r="AN2" s="431"/>
      <c r="AO2" s="251">
        <v>2020</v>
      </c>
    </row>
    <row r="3" spans="1:50" s="252" customFormat="1" x14ac:dyDescent="0.3">
      <c r="AM3" s="430" t="s">
        <v>576</v>
      </c>
      <c r="AN3" s="431"/>
      <c r="AO3" s="251">
        <v>12</v>
      </c>
    </row>
    <row r="4" spans="1:50" s="252" customFormat="1" x14ac:dyDescent="0.3"/>
    <row r="5" spans="1:50" s="252" customFormat="1" x14ac:dyDescent="0.3">
      <c r="A5" s="432" t="s">
        <v>556</v>
      </c>
      <c r="B5" s="433"/>
      <c r="C5" s="433"/>
      <c r="D5" s="433"/>
      <c r="E5" s="433"/>
      <c r="F5" s="433"/>
      <c r="G5" s="433"/>
      <c r="H5" s="433"/>
      <c r="I5" s="433"/>
      <c r="J5" s="433"/>
      <c r="K5" s="433"/>
      <c r="L5" s="433"/>
      <c r="M5" s="433"/>
      <c r="N5" s="434"/>
      <c r="O5" s="435" t="s">
        <v>557</v>
      </c>
      <c r="P5" s="435"/>
      <c r="Q5" s="435"/>
      <c r="R5" s="435"/>
      <c r="S5" s="435"/>
      <c r="T5" s="435"/>
      <c r="U5" s="435"/>
      <c r="V5" s="435"/>
      <c r="W5" s="435"/>
      <c r="X5" s="435"/>
      <c r="Y5" s="435"/>
      <c r="Z5" s="435"/>
      <c r="AA5" s="435"/>
      <c r="AB5" s="435"/>
      <c r="AC5" s="435"/>
      <c r="AD5" s="435"/>
      <c r="AE5" s="435"/>
      <c r="AF5" s="435"/>
      <c r="AG5" s="435"/>
      <c r="AH5" s="435"/>
      <c r="AI5" s="435"/>
      <c r="AJ5" s="435"/>
      <c r="AK5" s="435"/>
      <c r="AL5" s="435"/>
      <c r="AM5" s="436" t="s">
        <v>558</v>
      </c>
      <c r="AN5" s="436"/>
      <c r="AO5" s="437"/>
      <c r="AP5" s="437"/>
      <c r="AQ5" s="437"/>
      <c r="AR5" s="437"/>
      <c r="AS5" s="437"/>
      <c r="AT5" s="437"/>
    </row>
    <row r="6" spans="1:50" s="252" customFormat="1" ht="16.5" customHeight="1" x14ac:dyDescent="0.3">
      <c r="A6" s="256"/>
      <c r="B6" s="432" t="s">
        <v>563</v>
      </c>
      <c r="C6" s="433"/>
      <c r="D6" s="434"/>
      <c r="E6" s="438" t="s">
        <v>562</v>
      </c>
      <c r="F6" s="438"/>
      <c r="G6" s="438"/>
      <c r="H6" s="438" t="s">
        <v>554</v>
      </c>
      <c r="I6" s="438"/>
      <c r="J6" s="438"/>
      <c r="K6" s="439" t="s">
        <v>571</v>
      </c>
      <c r="L6" s="440"/>
      <c r="M6" s="256"/>
      <c r="N6" s="256"/>
      <c r="O6" s="427">
        <v>1</v>
      </c>
      <c r="P6" s="427"/>
      <c r="Q6" s="427">
        <f>O6+1</f>
        <v>2</v>
      </c>
      <c r="R6" s="427"/>
      <c r="S6" s="427">
        <f>Q6+1</f>
        <v>3</v>
      </c>
      <c r="T6" s="427"/>
      <c r="U6" s="427">
        <f>S6+1</f>
        <v>4</v>
      </c>
      <c r="V6" s="427"/>
      <c r="W6" s="427">
        <f t="shared" ref="W6" si="0">U6+1</f>
        <v>5</v>
      </c>
      <c r="X6" s="427"/>
      <c r="Y6" s="427">
        <f t="shared" ref="Y6" si="1">W6+1</f>
        <v>6</v>
      </c>
      <c r="Z6" s="427"/>
      <c r="AA6" s="427">
        <f t="shared" ref="AA6" si="2">Y6+1</f>
        <v>7</v>
      </c>
      <c r="AB6" s="427"/>
      <c r="AC6" s="427">
        <f t="shared" ref="AC6" si="3">AA6+1</f>
        <v>8</v>
      </c>
      <c r="AD6" s="427"/>
      <c r="AE6" s="427">
        <f t="shared" ref="AE6" si="4">AC6+1</f>
        <v>9</v>
      </c>
      <c r="AF6" s="427"/>
      <c r="AG6" s="427">
        <f t="shared" ref="AG6" si="5">AE6+1</f>
        <v>10</v>
      </c>
      <c r="AH6" s="427"/>
      <c r="AI6" s="427">
        <f t="shared" ref="AI6" si="6">AG6+1</f>
        <v>11</v>
      </c>
      <c r="AJ6" s="427"/>
      <c r="AK6" s="427">
        <f t="shared" ref="AK6" si="7">AI6+1</f>
        <v>12</v>
      </c>
      <c r="AL6" s="427"/>
      <c r="AM6" s="428" t="s">
        <v>473</v>
      </c>
      <c r="AN6" s="429"/>
      <c r="AO6" s="426" t="s">
        <v>566</v>
      </c>
      <c r="AP6" s="426"/>
      <c r="AQ6" s="257" t="s">
        <v>569</v>
      </c>
      <c r="AR6" s="260"/>
      <c r="AS6" s="260"/>
      <c r="AT6" s="260"/>
    </row>
    <row r="7" spans="1:50" x14ac:dyDescent="0.3">
      <c r="A7" s="256" t="s">
        <v>415</v>
      </c>
      <c r="B7" s="256" t="s">
        <v>410</v>
      </c>
      <c r="C7" s="256" t="s">
        <v>454</v>
      </c>
      <c r="D7" s="256" t="s">
        <v>472</v>
      </c>
      <c r="E7" s="256" t="s">
        <v>564</v>
      </c>
      <c r="F7" s="256" t="s">
        <v>552</v>
      </c>
      <c r="G7" s="256" t="s">
        <v>553</v>
      </c>
      <c r="H7" s="256" t="s">
        <v>561</v>
      </c>
      <c r="I7" s="256" t="s">
        <v>458</v>
      </c>
      <c r="J7" s="256" t="s">
        <v>371</v>
      </c>
      <c r="K7" s="282" t="s">
        <v>572</v>
      </c>
      <c r="L7" s="283" t="s">
        <v>573</v>
      </c>
      <c r="M7" s="282" t="s">
        <v>555</v>
      </c>
      <c r="N7" s="282" t="s">
        <v>593</v>
      </c>
      <c r="O7" s="255" t="s">
        <v>459</v>
      </c>
      <c r="P7" s="255" t="s">
        <v>460</v>
      </c>
      <c r="Q7" s="255" t="s">
        <v>459</v>
      </c>
      <c r="R7" s="255" t="s">
        <v>460</v>
      </c>
      <c r="S7" s="255" t="s">
        <v>459</v>
      </c>
      <c r="T7" s="255" t="s">
        <v>460</v>
      </c>
      <c r="U7" s="255" t="s">
        <v>459</v>
      </c>
      <c r="V7" s="255" t="s">
        <v>460</v>
      </c>
      <c r="W7" s="255" t="s">
        <v>459</v>
      </c>
      <c r="X7" s="255" t="s">
        <v>460</v>
      </c>
      <c r="Y7" s="255" t="s">
        <v>459</v>
      </c>
      <c r="Z7" s="255" t="s">
        <v>460</v>
      </c>
      <c r="AA7" s="255" t="s">
        <v>459</v>
      </c>
      <c r="AB7" s="255" t="s">
        <v>460</v>
      </c>
      <c r="AC7" s="255" t="s">
        <v>459</v>
      </c>
      <c r="AD7" s="255" t="s">
        <v>460</v>
      </c>
      <c r="AE7" s="255" t="s">
        <v>459</v>
      </c>
      <c r="AF7" s="255" t="s">
        <v>460</v>
      </c>
      <c r="AG7" s="255" t="s">
        <v>459</v>
      </c>
      <c r="AH7" s="255" t="s">
        <v>460</v>
      </c>
      <c r="AI7" s="255" t="s">
        <v>459</v>
      </c>
      <c r="AJ7" s="255" t="s">
        <v>460</v>
      </c>
      <c r="AK7" s="255" t="s">
        <v>459</v>
      </c>
      <c r="AL7" s="255" t="s">
        <v>460</v>
      </c>
      <c r="AM7" s="266" t="s">
        <v>559</v>
      </c>
      <c r="AN7" s="259" t="s">
        <v>560</v>
      </c>
      <c r="AO7" s="258" t="s">
        <v>565</v>
      </c>
      <c r="AP7" s="258" t="s">
        <v>567</v>
      </c>
      <c r="AQ7" s="258" t="s">
        <v>568</v>
      </c>
      <c r="AR7" s="261" t="s">
        <v>594</v>
      </c>
      <c r="AS7" s="261" t="s">
        <v>595</v>
      </c>
      <c r="AT7" s="261" t="s">
        <v>596</v>
      </c>
      <c r="AW7" s="252"/>
      <c r="AX7" s="252"/>
    </row>
    <row r="8" spans="1:50" ht="22.5" customHeight="1" x14ac:dyDescent="0.3">
      <c r="A8" s="267">
        <v>1</v>
      </c>
      <c r="B8" s="319" t="s">
        <v>12</v>
      </c>
      <c r="C8" s="284">
        <v>1104334968</v>
      </c>
      <c r="D8" s="302">
        <v>11043349680</v>
      </c>
      <c r="E8" s="327"/>
      <c r="F8" s="66">
        <v>43244</v>
      </c>
      <c r="G8" s="66">
        <v>43608</v>
      </c>
      <c r="H8" s="329">
        <v>100000</v>
      </c>
      <c r="I8" s="329">
        <f t="shared" ref="I8:I54" si="8">H8*0.1</f>
        <v>10000</v>
      </c>
      <c r="J8" s="329">
        <f t="shared" ref="J8:J54" si="9">SUM(H8:I8)</f>
        <v>110000</v>
      </c>
      <c r="K8" s="66" t="s">
        <v>70</v>
      </c>
      <c r="L8" s="286">
        <v>5</v>
      </c>
      <c r="M8" s="287">
        <v>5</v>
      </c>
      <c r="N8" s="268"/>
      <c r="O8" s="270">
        <v>43832</v>
      </c>
      <c r="P8" s="271">
        <v>43838</v>
      </c>
      <c r="Q8" s="270">
        <v>43860</v>
      </c>
      <c r="R8" s="271">
        <v>43868</v>
      </c>
      <c r="S8" s="270">
        <v>43890</v>
      </c>
      <c r="T8" s="271">
        <v>43899</v>
      </c>
      <c r="U8" s="270">
        <v>43921</v>
      </c>
      <c r="V8" s="271">
        <v>43929</v>
      </c>
      <c r="W8" s="270">
        <v>43950</v>
      </c>
      <c r="X8" s="271">
        <v>43959</v>
      </c>
      <c r="Y8" s="270">
        <v>43980</v>
      </c>
      <c r="Z8" s="271">
        <v>43990</v>
      </c>
      <c r="AA8" s="270">
        <v>44012</v>
      </c>
      <c r="AB8" s="271">
        <v>44020</v>
      </c>
      <c r="AC8" s="270">
        <v>44043</v>
      </c>
      <c r="AD8" s="271">
        <v>44050</v>
      </c>
      <c r="AE8" s="270">
        <v>44074</v>
      </c>
      <c r="AF8" s="271">
        <v>44083</v>
      </c>
      <c r="AG8" s="270">
        <v>44104</v>
      </c>
      <c r="AH8" s="271">
        <v>44111</v>
      </c>
      <c r="AI8" s="270">
        <v>44134</v>
      </c>
      <c r="AJ8" s="271">
        <v>44144</v>
      </c>
      <c r="AK8" s="270">
        <v>44165</v>
      </c>
      <c r="AL8" s="271">
        <v>44174</v>
      </c>
      <c r="AM8" s="66">
        <f t="shared" ref="AM8:AM39" si="10">IFERROR(
IF(M8="해지","제외",
IF(M8=25,DATE(AO$2,AO$3,DAY(M8)),
IF(M8=31,EOMONTH(DATE(AO$2,AO$3,29),0),
DATE(AO$2,AO$3+1,DAY(M8))))),"예외")</f>
        <v>44201</v>
      </c>
      <c r="AN8" s="267" t="str">
        <f t="shared" ref="AN8:AN39" si="11">IFERROR(CHOOSE(WEEKDAY(AM8,2),"월","화","수","목","금","토","일"),"")</f>
        <v>화</v>
      </c>
      <c r="AO8" s="267"/>
      <c r="AP8" s="267"/>
      <c r="AQ8" s="267"/>
      <c r="AR8" s="267"/>
      <c r="AS8" s="267"/>
      <c r="AT8" s="267"/>
      <c r="AW8" s="252"/>
      <c r="AX8" s="252"/>
    </row>
    <row r="9" spans="1:50" ht="22.5" customHeight="1" x14ac:dyDescent="0.3">
      <c r="A9" s="267">
        <v>2</v>
      </c>
      <c r="B9" s="319" t="s">
        <v>13</v>
      </c>
      <c r="C9" s="284">
        <v>7318100137</v>
      </c>
      <c r="D9" s="302">
        <v>73181001370</v>
      </c>
      <c r="E9" s="327"/>
      <c r="F9" s="66">
        <v>43282</v>
      </c>
      <c r="G9" s="66">
        <v>43646</v>
      </c>
      <c r="H9" s="329">
        <v>100000</v>
      </c>
      <c r="I9" s="329">
        <f t="shared" si="8"/>
        <v>10000</v>
      </c>
      <c r="J9" s="329">
        <f t="shared" si="9"/>
        <v>110000</v>
      </c>
      <c r="K9" s="66" t="s">
        <v>70</v>
      </c>
      <c r="L9" s="286">
        <v>5</v>
      </c>
      <c r="M9" s="287">
        <v>5</v>
      </c>
      <c r="N9" s="329"/>
      <c r="O9" s="270">
        <v>43832</v>
      </c>
      <c r="P9" s="271">
        <v>43838</v>
      </c>
      <c r="Q9" s="270">
        <v>43860</v>
      </c>
      <c r="R9" s="271">
        <v>43868</v>
      </c>
      <c r="S9" s="270">
        <v>43890</v>
      </c>
      <c r="T9" s="271">
        <v>43899</v>
      </c>
      <c r="U9" s="270">
        <v>43921</v>
      </c>
      <c r="V9" s="271">
        <v>43929</v>
      </c>
      <c r="W9" s="270">
        <v>43950</v>
      </c>
      <c r="X9" s="271">
        <v>43959</v>
      </c>
      <c r="Y9" s="270">
        <v>43980</v>
      </c>
      <c r="Z9" s="271">
        <v>43990</v>
      </c>
      <c r="AA9" s="270">
        <v>44012</v>
      </c>
      <c r="AB9" s="271">
        <v>44020</v>
      </c>
      <c r="AC9" s="270">
        <v>44043</v>
      </c>
      <c r="AD9" s="271">
        <v>44050</v>
      </c>
      <c r="AE9" s="270">
        <v>44074</v>
      </c>
      <c r="AF9" s="271">
        <v>44083</v>
      </c>
      <c r="AG9" s="270">
        <v>44104</v>
      </c>
      <c r="AH9" s="271">
        <v>44111</v>
      </c>
      <c r="AI9" s="270">
        <v>44134</v>
      </c>
      <c r="AJ9" s="271">
        <v>44144</v>
      </c>
      <c r="AK9" s="270">
        <v>44165</v>
      </c>
      <c r="AL9" s="271">
        <v>44174</v>
      </c>
      <c r="AM9" s="66">
        <f t="shared" si="10"/>
        <v>44201</v>
      </c>
      <c r="AN9" s="269" t="str">
        <f t="shared" si="11"/>
        <v>화</v>
      </c>
      <c r="AO9" s="267"/>
      <c r="AP9" s="267"/>
      <c r="AQ9" s="267"/>
      <c r="AR9" s="267"/>
      <c r="AS9" s="267"/>
      <c r="AT9" s="267"/>
      <c r="AW9" s="252"/>
      <c r="AX9" s="252"/>
    </row>
    <row r="10" spans="1:50" ht="22.5" customHeight="1" x14ac:dyDescent="0.3">
      <c r="A10" s="267">
        <v>3</v>
      </c>
      <c r="B10" s="319" t="s">
        <v>20</v>
      </c>
      <c r="C10" s="284">
        <v>2108138456</v>
      </c>
      <c r="D10" s="302">
        <v>21081384560</v>
      </c>
      <c r="E10" s="327"/>
      <c r="F10" s="66">
        <v>43108</v>
      </c>
      <c r="G10" s="66">
        <v>43465</v>
      </c>
      <c r="H10" s="329">
        <v>100000</v>
      </c>
      <c r="I10" s="329">
        <f t="shared" si="8"/>
        <v>10000</v>
      </c>
      <c r="J10" s="329">
        <f t="shared" si="9"/>
        <v>110000</v>
      </c>
      <c r="K10" s="66" t="s">
        <v>70</v>
      </c>
      <c r="L10" s="286">
        <v>5</v>
      </c>
      <c r="M10" s="287">
        <v>7</v>
      </c>
      <c r="N10" s="329"/>
      <c r="O10" s="270">
        <v>43832</v>
      </c>
      <c r="P10" s="271">
        <v>43838</v>
      </c>
      <c r="Q10" s="270">
        <v>43860</v>
      </c>
      <c r="R10" s="271">
        <v>43868</v>
      </c>
      <c r="S10" s="270">
        <v>43890</v>
      </c>
      <c r="T10" s="271">
        <v>43899</v>
      </c>
      <c r="U10" s="270">
        <v>43921</v>
      </c>
      <c r="V10" s="271">
        <v>43929</v>
      </c>
      <c r="W10" s="270">
        <v>43950</v>
      </c>
      <c r="X10" s="271">
        <v>43959</v>
      </c>
      <c r="Y10" s="270">
        <v>43980</v>
      </c>
      <c r="Z10" s="271">
        <v>43990</v>
      </c>
      <c r="AA10" s="270">
        <v>44012</v>
      </c>
      <c r="AB10" s="271">
        <v>44020</v>
      </c>
      <c r="AC10" s="270">
        <v>44043</v>
      </c>
      <c r="AD10" s="271">
        <v>44050</v>
      </c>
      <c r="AE10" s="270">
        <v>44074</v>
      </c>
      <c r="AF10" s="271">
        <v>44083</v>
      </c>
      <c r="AG10" s="270">
        <v>44104</v>
      </c>
      <c r="AH10" s="271">
        <v>44111</v>
      </c>
      <c r="AI10" s="270">
        <v>44134</v>
      </c>
      <c r="AJ10" s="271">
        <v>44144</v>
      </c>
      <c r="AK10" s="270">
        <v>44165</v>
      </c>
      <c r="AL10" s="271">
        <v>44174</v>
      </c>
      <c r="AM10" s="66">
        <f t="shared" si="10"/>
        <v>44203</v>
      </c>
      <c r="AN10" s="269" t="str">
        <f t="shared" si="11"/>
        <v>목</v>
      </c>
      <c r="AO10" s="267"/>
      <c r="AP10" s="267"/>
      <c r="AQ10" s="267"/>
      <c r="AR10" s="267"/>
      <c r="AS10" s="267"/>
      <c r="AT10" s="267"/>
      <c r="AW10" s="252"/>
      <c r="AX10" s="252"/>
    </row>
    <row r="11" spans="1:50" ht="22.5" customHeight="1" x14ac:dyDescent="0.3">
      <c r="A11" s="267">
        <v>4</v>
      </c>
      <c r="B11" s="319" t="s">
        <v>475</v>
      </c>
      <c r="C11" s="284">
        <v>1244716365</v>
      </c>
      <c r="D11" s="302">
        <v>12447163650</v>
      </c>
      <c r="E11" s="327"/>
      <c r="F11" s="66">
        <v>43556</v>
      </c>
      <c r="G11" s="66">
        <v>43921</v>
      </c>
      <c r="H11" s="329">
        <v>100000</v>
      </c>
      <c r="I11" s="329">
        <f t="shared" si="8"/>
        <v>10000</v>
      </c>
      <c r="J11" s="329">
        <f t="shared" si="9"/>
        <v>110000</v>
      </c>
      <c r="K11" s="66" t="s">
        <v>70</v>
      </c>
      <c r="L11" s="286">
        <v>5</v>
      </c>
      <c r="M11" s="287">
        <v>10</v>
      </c>
      <c r="N11" s="329"/>
      <c r="O11" s="270">
        <v>43832</v>
      </c>
      <c r="P11" s="271">
        <v>43838</v>
      </c>
      <c r="Q11" s="270">
        <v>43860</v>
      </c>
      <c r="R11" s="271">
        <v>43868</v>
      </c>
      <c r="S11" s="270">
        <v>43890</v>
      </c>
      <c r="T11" s="271">
        <v>43899</v>
      </c>
      <c r="U11" s="270">
        <v>43921</v>
      </c>
      <c r="V11" s="271">
        <v>43929</v>
      </c>
      <c r="W11" s="270">
        <v>43950</v>
      </c>
      <c r="X11" s="271">
        <v>43959</v>
      </c>
      <c r="Y11" s="270">
        <v>43980</v>
      </c>
      <c r="Z11" s="271">
        <v>43990</v>
      </c>
      <c r="AA11" s="270">
        <v>44012</v>
      </c>
      <c r="AB11" s="271">
        <v>44020</v>
      </c>
      <c r="AC11" s="270">
        <v>44043</v>
      </c>
      <c r="AD11" s="271">
        <v>44050</v>
      </c>
      <c r="AE11" s="270">
        <v>44074</v>
      </c>
      <c r="AF11" s="271">
        <v>44083</v>
      </c>
      <c r="AG11" s="270">
        <v>44104</v>
      </c>
      <c r="AH11" s="271">
        <v>44111</v>
      </c>
      <c r="AI11" s="270">
        <v>44134</v>
      </c>
      <c r="AJ11" s="271">
        <v>44144</v>
      </c>
      <c r="AK11" s="270">
        <v>44165</v>
      </c>
      <c r="AL11" s="271">
        <v>44174</v>
      </c>
      <c r="AM11" s="66">
        <f t="shared" si="10"/>
        <v>44206</v>
      </c>
      <c r="AN11" s="269" t="str">
        <f t="shared" si="11"/>
        <v>일</v>
      </c>
      <c r="AO11" s="267"/>
      <c r="AP11" s="267"/>
      <c r="AQ11" s="267"/>
      <c r="AR11" s="267"/>
      <c r="AS11" s="267"/>
      <c r="AT11" s="267"/>
      <c r="AW11" s="252"/>
      <c r="AX11" s="252"/>
    </row>
    <row r="12" spans="1:50" ht="22.5" customHeight="1" x14ac:dyDescent="0.3">
      <c r="A12" s="267">
        <v>5</v>
      </c>
      <c r="B12" s="319" t="s">
        <v>476</v>
      </c>
      <c r="C12" s="284">
        <v>1329239734</v>
      </c>
      <c r="D12" s="302">
        <v>13292397340</v>
      </c>
      <c r="E12" s="327"/>
      <c r="F12" s="66">
        <v>43600</v>
      </c>
      <c r="G12" s="66">
        <v>43965</v>
      </c>
      <c r="H12" s="329">
        <v>400000</v>
      </c>
      <c r="I12" s="329">
        <f t="shared" si="8"/>
        <v>40000</v>
      </c>
      <c r="J12" s="329">
        <f t="shared" si="9"/>
        <v>440000</v>
      </c>
      <c r="K12" s="66" t="s">
        <v>70</v>
      </c>
      <c r="L12" s="286">
        <v>5</v>
      </c>
      <c r="M12" s="287">
        <v>10</v>
      </c>
      <c r="N12" s="329"/>
      <c r="O12" s="270">
        <v>43832</v>
      </c>
      <c r="P12" s="271">
        <v>43838</v>
      </c>
      <c r="Q12" s="270">
        <v>43860</v>
      </c>
      <c r="R12" s="271">
        <v>43868</v>
      </c>
      <c r="S12" s="270">
        <v>43890</v>
      </c>
      <c r="T12" s="271">
        <v>43899</v>
      </c>
      <c r="U12" s="270">
        <v>43921</v>
      </c>
      <c r="V12" s="271">
        <v>43943</v>
      </c>
      <c r="W12" s="270">
        <v>43950</v>
      </c>
      <c r="X12" s="271">
        <v>43959</v>
      </c>
      <c r="Y12" s="270">
        <v>43980</v>
      </c>
      <c r="Z12" s="271">
        <v>43990</v>
      </c>
      <c r="AA12" s="270">
        <v>44012</v>
      </c>
      <c r="AB12" s="271">
        <v>44020</v>
      </c>
      <c r="AC12" s="270">
        <v>44043</v>
      </c>
      <c r="AD12" s="271">
        <v>44050</v>
      </c>
      <c r="AE12" s="270">
        <v>44074</v>
      </c>
      <c r="AF12" s="271">
        <v>44083</v>
      </c>
      <c r="AG12" s="270">
        <v>44104</v>
      </c>
      <c r="AH12" s="271">
        <v>44111</v>
      </c>
      <c r="AI12" s="270">
        <v>44134</v>
      </c>
      <c r="AJ12" s="271">
        <v>44144</v>
      </c>
      <c r="AK12" s="270">
        <v>44165</v>
      </c>
      <c r="AL12" s="271">
        <v>44174</v>
      </c>
      <c r="AM12" s="66">
        <f t="shared" si="10"/>
        <v>44206</v>
      </c>
      <c r="AN12" s="269" t="str">
        <f t="shared" si="11"/>
        <v>일</v>
      </c>
      <c r="AO12" s="267"/>
      <c r="AP12" s="267"/>
      <c r="AQ12" s="267"/>
      <c r="AR12" s="267"/>
      <c r="AS12" s="267"/>
      <c r="AT12" s="267"/>
      <c r="AW12" s="252"/>
      <c r="AX12" s="252"/>
    </row>
    <row r="13" spans="1:50" ht="22.5" customHeight="1" x14ac:dyDescent="0.3">
      <c r="A13" s="327">
        <v>6</v>
      </c>
      <c r="B13" s="319" t="s">
        <v>35</v>
      </c>
      <c r="C13" s="284">
        <v>2105060783</v>
      </c>
      <c r="D13" s="302">
        <v>21050607830</v>
      </c>
      <c r="E13" s="327"/>
      <c r="F13" s="66">
        <v>42826</v>
      </c>
      <c r="G13" s="66">
        <v>43190</v>
      </c>
      <c r="H13" s="329">
        <v>100000</v>
      </c>
      <c r="I13" s="329">
        <f t="shared" si="8"/>
        <v>10000</v>
      </c>
      <c r="J13" s="329">
        <f t="shared" si="9"/>
        <v>110000</v>
      </c>
      <c r="K13" s="66" t="s">
        <v>70</v>
      </c>
      <c r="L13" s="286">
        <v>10</v>
      </c>
      <c r="M13" s="287">
        <v>25</v>
      </c>
      <c r="N13" s="329"/>
      <c r="O13" s="270">
        <v>43832</v>
      </c>
      <c r="P13" s="271">
        <v>43843</v>
      </c>
      <c r="Q13" s="270">
        <v>43860</v>
      </c>
      <c r="R13" s="271">
        <v>43873</v>
      </c>
      <c r="S13" s="270">
        <v>43890</v>
      </c>
      <c r="T13" s="271">
        <v>43902</v>
      </c>
      <c r="U13" s="270">
        <v>43921</v>
      </c>
      <c r="V13" s="271">
        <v>43934</v>
      </c>
      <c r="W13" s="270">
        <v>43950</v>
      </c>
      <c r="X13" s="271">
        <v>43964</v>
      </c>
      <c r="Y13" s="270">
        <v>43980</v>
      </c>
      <c r="Z13" s="271">
        <v>43994</v>
      </c>
      <c r="AA13" s="270">
        <v>44012</v>
      </c>
      <c r="AB13" s="271">
        <v>44025</v>
      </c>
      <c r="AC13" s="270">
        <v>44043</v>
      </c>
      <c r="AD13" s="271">
        <v>44063</v>
      </c>
      <c r="AE13" s="270">
        <v>44074</v>
      </c>
      <c r="AF13" s="271">
        <v>44088</v>
      </c>
      <c r="AG13" s="270">
        <v>44104</v>
      </c>
      <c r="AH13" s="277">
        <v>44123</v>
      </c>
      <c r="AI13" s="270">
        <v>44134</v>
      </c>
      <c r="AJ13" s="271">
        <v>44147</v>
      </c>
      <c r="AK13" s="270">
        <v>44165</v>
      </c>
      <c r="AL13" s="271">
        <v>44179</v>
      </c>
      <c r="AM13" s="66">
        <f t="shared" si="10"/>
        <v>44190</v>
      </c>
      <c r="AN13" s="269" t="str">
        <f t="shared" si="11"/>
        <v>금</v>
      </c>
      <c r="AO13" s="327"/>
      <c r="AP13" s="327"/>
      <c r="AQ13" s="327"/>
      <c r="AR13" s="327"/>
      <c r="AS13" s="327"/>
      <c r="AT13" s="327"/>
      <c r="AW13" s="252"/>
      <c r="AX13" s="252"/>
    </row>
    <row r="14" spans="1:50" ht="22.5" customHeight="1" x14ac:dyDescent="0.3">
      <c r="A14" s="267">
        <v>7</v>
      </c>
      <c r="B14" s="319" t="s">
        <v>578</v>
      </c>
      <c r="C14" s="284">
        <v>2171086662</v>
      </c>
      <c r="D14" s="302">
        <v>21710866620</v>
      </c>
      <c r="E14" s="327"/>
      <c r="F14" s="66">
        <v>44013</v>
      </c>
      <c r="G14" s="66">
        <v>44377</v>
      </c>
      <c r="H14" s="329">
        <v>70000</v>
      </c>
      <c r="I14" s="329">
        <f t="shared" si="8"/>
        <v>7000</v>
      </c>
      <c r="J14" s="329">
        <f t="shared" si="9"/>
        <v>77000</v>
      </c>
      <c r="K14" s="66" t="s">
        <v>70</v>
      </c>
      <c r="L14" s="286">
        <v>10</v>
      </c>
      <c r="M14" s="287">
        <v>25</v>
      </c>
      <c r="N14" s="329"/>
      <c r="O14" s="272"/>
      <c r="P14" s="273"/>
      <c r="Q14" s="272" t="s">
        <v>574</v>
      </c>
      <c r="R14" s="273" t="s">
        <v>574</v>
      </c>
      <c r="S14" s="272" t="s">
        <v>574</v>
      </c>
      <c r="T14" s="273" t="s">
        <v>574</v>
      </c>
      <c r="U14" s="272" t="s">
        <v>574</v>
      </c>
      <c r="V14" s="273" t="s">
        <v>574</v>
      </c>
      <c r="W14" s="272" t="s">
        <v>574</v>
      </c>
      <c r="X14" s="273" t="s">
        <v>574</v>
      </c>
      <c r="Y14" s="272" t="s">
        <v>574</v>
      </c>
      <c r="Z14" s="273" t="s">
        <v>574</v>
      </c>
      <c r="AA14" s="270">
        <v>44012</v>
      </c>
      <c r="AB14" s="271">
        <v>44029</v>
      </c>
      <c r="AC14" s="270">
        <v>44043</v>
      </c>
      <c r="AD14" s="271">
        <v>44063</v>
      </c>
      <c r="AE14" s="270">
        <v>44074</v>
      </c>
      <c r="AF14" s="271">
        <v>44088</v>
      </c>
      <c r="AG14" s="270">
        <v>44104</v>
      </c>
      <c r="AH14" s="277">
        <v>44123</v>
      </c>
      <c r="AI14" s="270">
        <v>44134</v>
      </c>
      <c r="AJ14" s="271">
        <v>44147</v>
      </c>
      <c r="AK14" s="270">
        <v>44165</v>
      </c>
      <c r="AL14" s="271">
        <v>44179</v>
      </c>
      <c r="AM14" s="66">
        <f t="shared" si="10"/>
        <v>44190</v>
      </c>
      <c r="AN14" s="269" t="str">
        <f t="shared" si="11"/>
        <v>금</v>
      </c>
      <c r="AO14" s="267"/>
      <c r="AP14" s="267"/>
      <c r="AQ14" s="267"/>
      <c r="AR14" s="267"/>
      <c r="AS14" s="267"/>
      <c r="AT14" s="267"/>
      <c r="AW14" s="252"/>
      <c r="AX14" s="252"/>
    </row>
    <row r="15" spans="1:50" ht="22.5" customHeight="1" x14ac:dyDescent="0.3">
      <c r="A15" s="327">
        <v>8</v>
      </c>
      <c r="B15" s="319" t="s">
        <v>14</v>
      </c>
      <c r="C15" s="284">
        <v>1199601081</v>
      </c>
      <c r="D15" s="302">
        <v>11996010810</v>
      </c>
      <c r="E15" s="327"/>
      <c r="F15" s="66">
        <v>42887</v>
      </c>
      <c r="G15" s="66">
        <v>43616</v>
      </c>
      <c r="H15" s="329">
        <v>300000</v>
      </c>
      <c r="I15" s="329">
        <f t="shared" si="8"/>
        <v>30000</v>
      </c>
      <c r="J15" s="329">
        <f t="shared" si="9"/>
        <v>330000</v>
      </c>
      <c r="K15" s="66" t="s">
        <v>474</v>
      </c>
      <c r="L15" s="286">
        <v>10</v>
      </c>
      <c r="M15" s="287">
        <v>5</v>
      </c>
      <c r="N15" s="329"/>
      <c r="O15" s="270">
        <v>43832</v>
      </c>
      <c r="P15" s="271">
        <v>43840</v>
      </c>
      <c r="Q15" s="270">
        <v>43860</v>
      </c>
      <c r="R15" s="271">
        <v>43871</v>
      </c>
      <c r="S15" s="270">
        <v>43890</v>
      </c>
      <c r="T15" s="271">
        <v>43900</v>
      </c>
      <c r="U15" s="270">
        <v>43921</v>
      </c>
      <c r="V15" s="271">
        <v>43931</v>
      </c>
      <c r="W15" s="270">
        <v>43950</v>
      </c>
      <c r="X15" s="271">
        <v>43962</v>
      </c>
      <c r="Y15" s="270">
        <v>43980</v>
      </c>
      <c r="Z15" s="271">
        <v>43997</v>
      </c>
      <c r="AA15" s="270">
        <v>44012</v>
      </c>
      <c r="AB15" s="271">
        <v>44022</v>
      </c>
      <c r="AC15" s="270">
        <v>44043</v>
      </c>
      <c r="AD15" s="271">
        <v>44055</v>
      </c>
      <c r="AE15" s="270">
        <v>44074</v>
      </c>
      <c r="AF15" s="271">
        <v>44084</v>
      </c>
      <c r="AG15" s="270">
        <v>44104</v>
      </c>
      <c r="AH15" s="310">
        <v>44116</v>
      </c>
      <c r="AI15" s="270">
        <v>44134</v>
      </c>
      <c r="AJ15" s="310">
        <v>44145</v>
      </c>
      <c r="AK15" s="270">
        <v>44165</v>
      </c>
      <c r="AL15" s="271">
        <v>44175</v>
      </c>
      <c r="AM15" s="66">
        <f t="shared" si="10"/>
        <v>44201</v>
      </c>
      <c r="AN15" s="269" t="str">
        <f t="shared" si="11"/>
        <v>화</v>
      </c>
      <c r="AO15" s="327"/>
      <c r="AP15" s="327"/>
      <c r="AQ15" s="327"/>
      <c r="AR15" s="327"/>
      <c r="AS15" s="327"/>
      <c r="AT15" s="327"/>
      <c r="AW15" s="252"/>
      <c r="AX15" s="252"/>
    </row>
    <row r="16" spans="1:50" ht="22.5" customHeight="1" x14ac:dyDescent="0.3">
      <c r="A16" s="267">
        <v>9</v>
      </c>
      <c r="B16" s="319" t="s">
        <v>577</v>
      </c>
      <c r="C16" s="284">
        <v>6560501321</v>
      </c>
      <c r="D16" s="302">
        <v>65605013210</v>
      </c>
      <c r="E16" s="267"/>
      <c r="F16" s="66">
        <v>43783</v>
      </c>
      <c r="G16" s="66">
        <v>44148</v>
      </c>
      <c r="H16" s="268">
        <v>100000</v>
      </c>
      <c r="I16" s="309">
        <f t="shared" si="8"/>
        <v>10000</v>
      </c>
      <c r="J16" s="309">
        <f t="shared" si="9"/>
        <v>110000</v>
      </c>
      <c r="K16" s="66" t="s">
        <v>70</v>
      </c>
      <c r="L16" s="286">
        <v>10</v>
      </c>
      <c r="M16" s="287">
        <v>10</v>
      </c>
      <c r="N16" s="268"/>
      <c r="O16" s="270">
        <v>43832</v>
      </c>
      <c r="P16" s="271">
        <v>43843</v>
      </c>
      <c r="Q16" s="270">
        <v>43860</v>
      </c>
      <c r="R16" s="271">
        <v>43873</v>
      </c>
      <c r="S16" s="270">
        <v>43890</v>
      </c>
      <c r="T16" s="271">
        <v>43902</v>
      </c>
      <c r="U16" s="270">
        <v>43921</v>
      </c>
      <c r="V16" s="271">
        <v>43934</v>
      </c>
      <c r="W16" s="270">
        <v>43950</v>
      </c>
      <c r="X16" s="271">
        <v>43964</v>
      </c>
      <c r="Y16" s="270">
        <v>43980</v>
      </c>
      <c r="Z16" s="271">
        <v>43994</v>
      </c>
      <c r="AA16" s="270">
        <v>44012</v>
      </c>
      <c r="AB16" s="271">
        <v>44025</v>
      </c>
      <c r="AC16" s="270">
        <v>44043</v>
      </c>
      <c r="AD16" s="271">
        <v>44055</v>
      </c>
      <c r="AE16" s="270">
        <v>44074</v>
      </c>
      <c r="AF16" s="271">
        <v>44088</v>
      </c>
      <c r="AG16" s="270">
        <v>44104</v>
      </c>
      <c r="AH16" s="271">
        <v>44118</v>
      </c>
      <c r="AI16" s="270">
        <v>44134</v>
      </c>
      <c r="AJ16" s="271">
        <v>44147</v>
      </c>
      <c r="AK16" s="270">
        <v>44165</v>
      </c>
      <c r="AL16" s="271">
        <v>44179</v>
      </c>
      <c r="AM16" s="66">
        <f t="shared" si="10"/>
        <v>44206</v>
      </c>
      <c r="AN16" s="269" t="str">
        <f t="shared" si="11"/>
        <v>일</v>
      </c>
      <c r="AO16" s="267"/>
      <c r="AP16" s="267"/>
      <c r="AQ16" s="267"/>
      <c r="AR16" s="267"/>
      <c r="AS16" s="267"/>
      <c r="AT16" s="267"/>
      <c r="AW16" s="252"/>
      <c r="AX16" s="252"/>
    </row>
    <row r="17" spans="1:50" ht="22.5" customHeight="1" x14ac:dyDescent="0.3">
      <c r="A17" s="267">
        <v>10</v>
      </c>
      <c r="B17" s="319" t="s">
        <v>24</v>
      </c>
      <c r="C17" s="284">
        <v>2098159470</v>
      </c>
      <c r="D17" s="302">
        <v>20981594700</v>
      </c>
      <c r="E17" s="267"/>
      <c r="F17" s="66">
        <v>43063</v>
      </c>
      <c r="G17" s="66">
        <v>43465</v>
      </c>
      <c r="H17" s="268">
        <v>150000</v>
      </c>
      <c r="I17" s="309">
        <f t="shared" si="8"/>
        <v>15000</v>
      </c>
      <c r="J17" s="309">
        <f t="shared" si="9"/>
        <v>165000</v>
      </c>
      <c r="K17" s="66" t="s">
        <v>70</v>
      </c>
      <c r="L17" s="286">
        <v>10</v>
      </c>
      <c r="M17" s="287">
        <v>10</v>
      </c>
      <c r="N17" s="329"/>
      <c r="O17" s="270">
        <v>43832</v>
      </c>
      <c r="P17" s="271">
        <v>43847</v>
      </c>
      <c r="Q17" s="270">
        <v>43860</v>
      </c>
      <c r="R17" s="271">
        <v>43873</v>
      </c>
      <c r="S17" s="270">
        <v>43890</v>
      </c>
      <c r="T17" s="271">
        <v>43902</v>
      </c>
      <c r="U17" s="270">
        <v>43921</v>
      </c>
      <c r="V17" s="271">
        <v>43934</v>
      </c>
      <c r="W17" s="270">
        <v>43950</v>
      </c>
      <c r="X17" s="271">
        <v>43964</v>
      </c>
      <c r="Y17" s="270">
        <v>43980</v>
      </c>
      <c r="Z17" s="271">
        <v>43994</v>
      </c>
      <c r="AA17" s="270">
        <v>44012</v>
      </c>
      <c r="AB17" s="271">
        <v>44025</v>
      </c>
      <c r="AC17" s="270">
        <v>44043</v>
      </c>
      <c r="AD17" s="271">
        <v>44055</v>
      </c>
      <c r="AE17" s="270">
        <v>44074</v>
      </c>
      <c r="AF17" s="271">
        <v>44088</v>
      </c>
      <c r="AG17" s="270">
        <v>44104</v>
      </c>
      <c r="AH17" s="271">
        <v>44118</v>
      </c>
      <c r="AI17" s="270">
        <v>44134</v>
      </c>
      <c r="AJ17" s="271">
        <v>44147</v>
      </c>
      <c r="AK17" s="270">
        <v>44165</v>
      </c>
      <c r="AL17" s="271">
        <v>44179</v>
      </c>
      <c r="AM17" s="66">
        <f t="shared" si="10"/>
        <v>44206</v>
      </c>
      <c r="AN17" s="269" t="str">
        <f t="shared" si="11"/>
        <v>일</v>
      </c>
      <c r="AO17" s="267"/>
      <c r="AP17" s="267"/>
      <c r="AQ17" s="267"/>
      <c r="AR17" s="267"/>
      <c r="AS17" s="267"/>
      <c r="AT17" s="267"/>
      <c r="AW17" s="252"/>
      <c r="AX17" s="252"/>
    </row>
    <row r="18" spans="1:50" ht="22.5" customHeight="1" x14ac:dyDescent="0.3">
      <c r="A18" s="267">
        <v>11</v>
      </c>
      <c r="B18" s="319" t="s">
        <v>586</v>
      </c>
      <c r="C18" s="284">
        <v>5080944771</v>
      </c>
      <c r="D18" s="302">
        <v>50809447710</v>
      </c>
      <c r="E18" s="267"/>
      <c r="F18" s="66">
        <v>43132</v>
      </c>
      <c r="G18" s="66">
        <v>43496</v>
      </c>
      <c r="H18" s="268">
        <v>100000</v>
      </c>
      <c r="I18" s="309">
        <f t="shared" si="8"/>
        <v>10000</v>
      </c>
      <c r="J18" s="309">
        <f t="shared" si="9"/>
        <v>110000</v>
      </c>
      <c r="K18" s="66" t="s">
        <v>70</v>
      </c>
      <c r="L18" s="286">
        <v>10</v>
      </c>
      <c r="M18" s="287">
        <v>10</v>
      </c>
      <c r="N18" s="328" t="s">
        <v>587</v>
      </c>
      <c r="O18" s="270">
        <v>43832</v>
      </c>
      <c r="P18" s="271">
        <v>43843</v>
      </c>
      <c r="Q18" s="270">
        <v>43860</v>
      </c>
      <c r="R18" s="271">
        <v>43873</v>
      </c>
      <c r="S18" s="270">
        <v>43890</v>
      </c>
      <c r="T18" s="271">
        <v>43902</v>
      </c>
      <c r="U18" s="270">
        <v>43921</v>
      </c>
      <c r="V18" s="271">
        <v>43934</v>
      </c>
      <c r="W18" s="270">
        <v>43950</v>
      </c>
      <c r="X18" s="271">
        <v>43964</v>
      </c>
      <c r="Y18" s="270">
        <v>43980</v>
      </c>
      <c r="Z18" s="271">
        <v>43994</v>
      </c>
      <c r="AA18" s="270">
        <v>44012</v>
      </c>
      <c r="AB18" s="271">
        <v>44025</v>
      </c>
      <c r="AC18" s="270">
        <v>44043</v>
      </c>
      <c r="AD18" s="271">
        <v>44055</v>
      </c>
      <c r="AE18" s="270">
        <v>44074</v>
      </c>
      <c r="AF18" s="271">
        <v>44088</v>
      </c>
      <c r="AG18" s="270">
        <v>44104</v>
      </c>
      <c r="AH18" s="271">
        <v>44118</v>
      </c>
      <c r="AI18" s="270">
        <v>44134</v>
      </c>
      <c r="AJ18" s="271">
        <v>44147</v>
      </c>
      <c r="AK18" s="270">
        <v>44165</v>
      </c>
      <c r="AL18" s="271">
        <v>44179</v>
      </c>
      <c r="AM18" s="66">
        <f t="shared" si="10"/>
        <v>44206</v>
      </c>
      <c r="AN18" s="269" t="str">
        <f t="shared" si="11"/>
        <v>일</v>
      </c>
      <c r="AO18" s="267"/>
      <c r="AP18" s="267"/>
      <c r="AQ18" s="267"/>
      <c r="AR18" s="267"/>
      <c r="AS18" s="267"/>
      <c r="AT18" s="267"/>
      <c r="AW18" s="252"/>
      <c r="AX18" s="252"/>
    </row>
    <row r="19" spans="1:50" ht="22.5" customHeight="1" x14ac:dyDescent="0.3">
      <c r="A19" s="267">
        <v>12</v>
      </c>
      <c r="B19" s="319" t="s">
        <v>23</v>
      </c>
      <c r="C19" s="284">
        <v>7329100686</v>
      </c>
      <c r="D19" s="302">
        <v>73291006860</v>
      </c>
      <c r="E19" s="267"/>
      <c r="F19" s="66">
        <v>43405</v>
      </c>
      <c r="G19" s="66">
        <v>43769</v>
      </c>
      <c r="H19" s="268">
        <v>110000</v>
      </c>
      <c r="I19" s="309">
        <f t="shared" si="8"/>
        <v>11000</v>
      </c>
      <c r="J19" s="309">
        <f t="shared" si="9"/>
        <v>121000</v>
      </c>
      <c r="K19" s="66" t="s">
        <v>70</v>
      </c>
      <c r="L19" s="286">
        <v>10</v>
      </c>
      <c r="M19" s="287">
        <v>10</v>
      </c>
      <c r="N19" s="329"/>
      <c r="O19" s="270">
        <v>43832</v>
      </c>
      <c r="P19" s="271">
        <v>43843</v>
      </c>
      <c r="Q19" s="270">
        <v>43860</v>
      </c>
      <c r="R19" s="271">
        <v>43873</v>
      </c>
      <c r="S19" s="270">
        <v>43890</v>
      </c>
      <c r="T19" s="271">
        <v>43902</v>
      </c>
      <c r="U19" s="270">
        <v>43921</v>
      </c>
      <c r="V19" s="271">
        <v>43934</v>
      </c>
      <c r="W19" s="270">
        <v>43950</v>
      </c>
      <c r="X19" s="271">
        <v>43964</v>
      </c>
      <c r="Y19" s="270">
        <v>43980</v>
      </c>
      <c r="Z19" s="271">
        <v>43994</v>
      </c>
      <c r="AA19" s="270">
        <v>44012</v>
      </c>
      <c r="AB19" s="271">
        <v>44025</v>
      </c>
      <c r="AC19" s="270">
        <v>44043</v>
      </c>
      <c r="AD19" s="271">
        <v>44055</v>
      </c>
      <c r="AE19" s="270">
        <v>44074</v>
      </c>
      <c r="AF19" s="271">
        <v>44088</v>
      </c>
      <c r="AG19" s="270">
        <v>44104</v>
      </c>
      <c r="AH19" s="271">
        <v>44118</v>
      </c>
      <c r="AI19" s="270">
        <v>44134</v>
      </c>
      <c r="AJ19" s="271">
        <v>44147</v>
      </c>
      <c r="AK19" s="270">
        <v>44165</v>
      </c>
      <c r="AL19" s="271">
        <v>44179</v>
      </c>
      <c r="AM19" s="66">
        <f t="shared" si="10"/>
        <v>44206</v>
      </c>
      <c r="AN19" s="269" t="str">
        <f t="shared" si="11"/>
        <v>일</v>
      </c>
      <c r="AO19" s="267"/>
      <c r="AP19" s="267"/>
      <c r="AQ19" s="267"/>
      <c r="AR19" s="267"/>
      <c r="AS19" s="267"/>
      <c r="AT19" s="267"/>
      <c r="AW19" s="252"/>
      <c r="AX19" s="252"/>
    </row>
    <row r="20" spans="1:50" ht="22.5" customHeight="1" x14ac:dyDescent="0.3">
      <c r="A20" s="267">
        <v>13</v>
      </c>
      <c r="B20" s="319" t="s">
        <v>32</v>
      </c>
      <c r="C20" s="284">
        <v>1288702947</v>
      </c>
      <c r="D20" s="302">
        <v>12887029470</v>
      </c>
      <c r="E20" s="267"/>
      <c r="F20" s="66">
        <v>43444</v>
      </c>
      <c r="G20" s="66">
        <v>43830</v>
      </c>
      <c r="H20" s="268">
        <v>200000</v>
      </c>
      <c r="I20" s="309">
        <f t="shared" si="8"/>
        <v>20000</v>
      </c>
      <c r="J20" s="309">
        <f t="shared" si="9"/>
        <v>220000</v>
      </c>
      <c r="K20" s="66" t="s">
        <v>70</v>
      </c>
      <c r="L20" s="286">
        <v>10</v>
      </c>
      <c r="M20" s="287">
        <v>10</v>
      </c>
      <c r="N20" s="329"/>
      <c r="O20" s="270">
        <v>43832</v>
      </c>
      <c r="P20" s="271">
        <v>43847</v>
      </c>
      <c r="Q20" s="270">
        <v>43860</v>
      </c>
      <c r="R20" s="271">
        <v>43873</v>
      </c>
      <c r="S20" s="270">
        <v>43890</v>
      </c>
      <c r="T20" s="271">
        <v>43902</v>
      </c>
      <c r="U20" s="270">
        <v>43921</v>
      </c>
      <c r="V20" s="271">
        <v>43934</v>
      </c>
      <c r="W20" s="270">
        <v>43950</v>
      </c>
      <c r="X20" s="271">
        <v>43964</v>
      </c>
      <c r="Y20" s="270">
        <v>43980</v>
      </c>
      <c r="Z20" s="271">
        <v>43994</v>
      </c>
      <c r="AA20" s="270">
        <v>44012</v>
      </c>
      <c r="AB20" s="271">
        <v>44025</v>
      </c>
      <c r="AC20" s="270">
        <v>44043</v>
      </c>
      <c r="AD20" s="271">
        <v>44055</v>
      </c>
      <c r="AE20" s="270">
        <v>44074</v>
      </c>
      <c r="AF20" s="271">
        <v>44088</v>
      </c>
      <c r="AG20" s="270">
        <v>44104</v>
      </c>
      <c r="AH20" s="271">
        <v>44118</v>
      </c>
      <c r="AI20" s="270">
        <v>44134</v>
      </c>
      <c r="AJ20" s="271">
        <v>44147</v>
      </c>
      <c r="AK20" s="270">
        <v>44165</v>
      </c>
      <c r="AL20" s="271">
        <v>44179</v>
      </c>
      <c r="AM20" s="66">
        <f t="shared" si="10"/>
        <v>44206</v>
      </c>
      <c r="AN20" s="269" t="str">
        <f t="shared" si="11"/>
        <v>일</v>
      </c>
      <c r="AO20" s="267"/>
      <c r="AP20" s="267"/>
      <c r="AQ20" s="267"/>
      <c r="AR20" s="267"/>
      <c r="AS20" s="267"/>
      <c r="AT20" s="267"/>
      <c r="AW20" s="252"/>
      <c r="AX20" s="252"/>
    </row>
    <row r="21" spans="1:50" ht="22.5" customHeight="1" x14ac:dyDescent="0.3">
      <c r="A21" s="267">
        <v>14</v>
      </c>
      <c r="B21" s="319" t="s">
        <v>39</v>
      </c>
      <c r="C21" s="284">
        <v>2103640234</v>
      </c>
      <c r="D21" s="302">
        <v>21036402340</v>
      </c>
      <c r="E21" s="267"/>
      <c r="F21" s="66">
        <v>42913</v>
      </c>
      <c r="G21" s="66">
        <v>43277</v>
      </c>
      <c r="H21" s="268">
        <v>70000</v>
      </c>
      <c r="I21" s="309">
        <f t="shared" si="8"/>
        <v>7000</v>
      </c>
      <c r="J21" s="309">
        <f t="shared" si="9"/>
        <v>77000</v>
      </c>
      <c r="K21" s="66" t="s">
        <v>70</v>
      </c>
      <c r="L21" s="288">
        <v>15</v>
      </c>
      <c r="M21" s="287">
        <v>31</v>
      </c>
      <c r="N21" s="329"/>
      <c r="O21" s="274">
        <v>43840</v>
      </c>
      <c r="P21" s="275">
        <v>43847</v>
      </c>
      <c r="Q21" s="274">
        <v>43871</v>
      </c>
      <c r="R21" s="275">
        <v>43880</v>
      </c>
      <c r="S21" s="274">
        <v>43900</v>
      </c>
      <c r="T21" s="275">
        <v>43908</v>
      </c>
      <c r="U21" s="274">
        <v>43931</v>
      </c>
      <c r="V21" s="275">
        <v>43941</v>
      </c>
      <c r="W21" s="274">
        <v>43962</v>
      </c>
      <c r="X21" s="275">
        <v>43969</v>
      </c>
      <c r="Y21" s="274">
        <v>43992</v>
      </c>
      <c r="Z21" s="275">
        <v>43999</v>
      </c>
      <c r="AA21" s="274">
        <v>44022</v>
      </c>
      <c r="AB21" s="275">
        <v>44029</v>
      </c>
      <c r="AC21" s="274">
        <v>44053</v>
      </c>
      <c r="AD21" s="275">
        <v>44063</v>
      </c>
      <c r="AE21" s="274">
        <v>44084</v>
      </c>
      <c r="AF21" s="275">
        <v>44091</v>
      </c>
      <c r="AG21" s="274">
        <v>44112</v>
      </c>
      <c r="AH21" s="275">
        <v>44123</v>
      </c>
      <c r="AI21" s="274">
        <v>44145</v>
      </c>
      <c r="AJ21" s="275">
        <v>44153</v>
      </c>
      <c r="AK21" s="274">
        <v>44175</v>
      </c>
      <c r="AL21" s="275">
        <v>44182</v>
      </c>
      <c r="AM21" s="66">
        <f t="shared" si="10"/>
        <v>44196</v>
      </c>
      <c r="AN21" s="269" t="str">
        <f t="shared" si="11"/>
        <v>목</v>
      </c>
      <c r="AO21" s="267"/>
      <c r="AP21" s="267"/>
      <c r="AQ21" s="267"/>
      <c r="AR21" s="267"/>
      <c r="AS21" s="267"/>
      <c r="AT21" s="267"/>
      <c r="AW21" s="252"/>
      <c r="AX21" s="252"/>
    </row>
    <row r="22" spans="1:50" ht="22.5" customHeight="1" x14ac:dyDescent="0.3">
      <c r="A22" s="267">
        <v>15</v>
      </c>
      <c r="B22" s="319" t="s">
        <v>40</v>
      </c>
      <c r="C22" s="284">
        <v>4211800459</v>
      </c>
      <c r="D22" s="302">
        <v>42118004590</v>
      </c>
      <c r="E22" s="267"/>
      <c r="F22" s="66">
        <v>42901</v>
      </c>
      <c r="G22" s="66">
        <v>43630</v>
      </c>
      <c r="H22" s="268">
        <v>100000</v>
      </c>
      <c r="I22" s="309">
        <f t="shared" si="8"/>
        <v>10000</v>
      </c>
      <c r="J22" s="309">
        <f t="shared" si="9"/>
        <v>110000</v>
      </c>
      <c r="K22" s="66" t="s">
        <v>70</v>
      </c>
      <c r="L22" s="288">
        <v>15</v>
      </c>
      <c r="M22" s="287">
        <v>31</v>
      </c>
      <c r="N22" s="268"/>
      <c r="O22" s="274">
        <v>43840</v>
      </c>
      <c r="P22" s="275">
        <v>43847</v>
      </c>
      <c r="Q22" s="274">
        <v>43871</v>
      </c>
      <c r="R22" s="275">
        <v>43880</v>
      </c>
      <c r="S22" s="274">
        <v>43900</v>
      </c>
      <c r="T22" s="275">
        <v>43908</v>
      </c>
      <c r="U22" s="274">
        <v>43931</v>
      </c>
      <c r="V22" s="275">
        <v>43941</v>
      </c>
      <c r="W22" s="274">
        <v>43962</v>
      </c>
      <c r="X22" s="275">
        <v>43969</v>
      </c>
      <c r="Y22" s="274">
        <v>43992</v>
      </c>
      <c r="Z22" s="275">
        <v>43999</v>
      </c>
      <c r="AA22" s="274">
        <v>44022</v>
      </c>
      <c r="AB22" s="275">
        <v>44029</v>
      </c>
      <c r="AC22" s="274">
        <v>44053</v>
      </c>
      <c r="AD22" s="275">
        <v>44063</v>
      </c>
      <c r="AE22" s="274">
        <v>44084</v>
      </c>
      <c r="AF22" s="275">
        <v>44091</v>
      </c>
      <c r="AG22" s="274">
        <v>44112</v>
      </c>
      <c r="AH22" s="275">
        <v>44123</v>
      </c>
      <c r="AI22" s="274">
        <v>44145</v>
      </c>
      <c r="AJ22" s="275">
        <v>44153</v>
      </c>
      <c r="AK22" s="274">
        <v>44175</v>
      </c>
      <c r="AL22" s="275">
        <v>44182</v>
      </c>
      <c r="AM22" s="66">
        <f t="shared" si="10"/>
        <v>44196</v>
      </c>
      <c r="AN22" s="269" t="str">
        <f t="shared" si="11"/>
        <v>목</v>
      </c>
      <c r="AO22" s="267"/>
      <c r="AP22" s="267"/>
      <c r="AQ22" s="267"/>
      <c r="AR22" s="267"/>
      <c r="AS22" s="267"/>
      <c r="AT22" s="267"/>
      <c r="AW22" s="252"/>
      <c r="AX22" s="252"/>
    </row>
    <row r="23" spans="1:50" ht="22.5" customHeight="1" x14ac:dyDescent="0.3">
      <c r="A23" s="267">
        <v>16</v>
      </c>
      <c r="B23" s="319" t="s">
        <v>27</v>
      </c>
      <c r="C23" s="284">
        <v>4338800659</v>
      </c>
      <c r="D23" s="302">
        <v>43388006590</v>
      </c>
      <c r="E23" s="267"/>
      <c r="F23" s="66">
        <v>42956</v>
      </c>
      <c r="G23" s="66">
        <v>43320</v>
      </c>
      <c r="H23" s="268">
        <v>100000</v>
      </c>
      <c r="I23" s="309">
        <f t="shared" si="8"/>
        <v>10000</v>
      </c>
      <c r="J23" s="309">
        <f t="shared" si="9"/>
        <v>110000</v>
      </c>
      <c r="K23" s="66" t="s">
        <v>70</v>
      </c>
      <c r="L23" s="288">
        <v>15</v>
      </c>
      <c r="M23" s="287">
        <v>10</v>
      </c>
      <c r="N23" s="325"/>
      <c r="O23" s="274">
        <v>43840</v>
      </c>
      <c r="P23" s="275">
        <v>43847</v>
      </c>
      <c r="Q23" s="274">
        <v>43871</v>
      </c>
      <c r="R23" s="275">
        <v>43880</v>
      </c>
      <c r="S23" s="274">
        <v>43900</v>
      </c>
      <c r="T23" s="275">
        <v>43908</v>
      </c>
      <c r="U23" s="274">
        <v>43931</v>
      </c>
      <c r="V23" s="275">
        <v>43941</v>
      </c>
      <c r="W23" s="274">
        <v>43962</v>
      </c>
      <c r="X23" s="275">
        <v>43969</v>
      </c>
      <c r="Y23" s="274">
        <v>43992</v>
      </c>
      <c r="Z23" s="275">
        <v>43999</v>
      </c>
      <c r="AA23" s="274">
        <v>44022</v>
      </c>
      <c r="AB23" s="275">
        <v>44029</v>
      </c>
      <c r="AC23" s="274">
        <v>44053</v>
      </c>
      <c r="AD23" s="275">
        <v>44063</v>
      </c>
      <c r="AE23" s="274">
        <v>44084</v>
      </c>
      <c r="AF23" s="275">
        <v>44091</v>
      </c>
      <c r="AG23" s="274">
        <v>44112</v>
      </c>
      <c r="AH23" s="275">
        <v>44123</v>
      </c>
      <c r="AI23" s="274">
        <v>44145</v>
      </c>
      <c r="AJ23" s="275">
        <v>44153</v>
      </c>
      <c r="AK23" s="274">
        <v>44175</v>
      </c>
      <c r="AL23" s="275">
        <v>44182</v>
      </c>
      <c r="AM23" s="66">
        <f t="shared" si="10"/>
        <v>44206</v>
      </c>
      <c r="AN23" s="269" t="str">
        <f t="shared" si="11"/>
        <v>일</v>
      </c>
      <c r="AO23" s="327"/>
      <c r="AP23" s="327"/>
      <c r="AQ23" s="327"/>
      <c r="AR23" s="327"/>
      <c r="AS23" s="327"/>
      <c r="AT23" s="327"/>
      <c r="AW23" s="252"/>
      <c r="AX23" s="252"/>
    </row>
    <row r="24" spans="1:50" ht="22.5" customHeight="1" x14ac:dyDescent="0.3">
      <c r="A24" s="267">
        <v>17</v>
      </c>
      <c r="B24" s="319" t="s">
        <v>588</v>
      </c>
      <c r="C24" s="284">
        <v>1274680442</v>
      </c>
      <c r="D24" s="302">
        <v>12746804420</v>
      </c>
      <c r="E24" s="267"/>
      <c r="F24" s="66">
        <v>43207</v>
      </c>
      <c r="G24" s="66">
        <v>43571</v>
      </c>
      <c r="H24" s="268">
        <v>100000</v>
      </c>
      <c r="I24" s="309">
        <f t="shared" si="8"/>
        <v>10000</v>
      </c>
      <c r="J24" s="309">
        <f t="shared" si="9"/>
        <v>110000</v>
      </c>
      <c r="K24" s="66" t="s">
        <v>70</v>
      </c>
      <c r="L24" s="288">
        <v>15</v>
      </c>
      <c r="M24" s="287">
        <v>10</v>
      </c>
      <c r="N24" s="268"/>
      <c r="O24" s="274">
        <v>43840</v>
      </c>
      <c r="P24" s="275">
        <v>43847</v>
      </c>
      <c r="Q24" s="274">
        <v>43871</v>
      </c>
      <c r="R24" s="275">
        <v>43880</v>
      </c>
      <c r="S24" s="274">
        <v>43900</v>
      </c>
      <c r="T24" s="275">
        <v>43908</v>
      </c>
      <c r="U24" s="274">
        <v>43931</v>
      </c>
      <c r="V24" s="275">
        <v>43941</v>
      </c>
      <c r="W24" s="274">
        <v>43962</v>
      </c>
      <c r="X24" s="275">
        <v>43969</v>
      </c>
      <c r="Y24" s="274">
        <v>43992</v>
      </c>
      <c r="Z24" s="275">
        <v>43999</v>
      </c>
      <c r="AA24" s="274">
        <v>44022</v>
      </c>
      <c r="AB24" s="275">
        <v>44029</v>
      </c>
      <c r="AC24" s="274">
        <v>44053</v>
      </c>
      <c r="AD24" s="275">
        <v>44063</v>
      </c>
      <c r="AE24" s="274">
        <v>44084</v>
      </c>
      <c r="AF24" s="275">
        <v>44091</v>
      </c>
      <c r="AG24" s="274">
        <v>44112</v>
      </c>
      <c r="AH24" s="275">
        <v>44123</v>
      </c>
      <c r="AI24" s="274">
        <v>44145</v>
      </c>
      <c r="AJ24" s="275">
        <v>44153</v>
      </c>
      <c r="AK24" s="274">
        <v>44175</v>
      </c>
      <c r="AL24" s="275">
        <v>44182</v>
      </c>
      <c r="AM24" s="66">
        <f t="shared" si="10"/>
        <v>44206</v>
      </c>
      <c r="AN24" s="269" t="str">
        <f t="shared" si="11"/>
        <v>일</v>
      </c>
      <c r="AO24" s="327"/>
      <c r="AP24" s="327"/>
      <c r="AQ24" s="327"/>
      <c r="AR24" s="327"/>
      <c r="AS24" s="327"/>
      <c r="AT24" s="327"/>
      <c r="AW24" s="252"/>
      <c r="AX24" s="252"/>
    </row>
    <row r="25" spans="1:50" ht="22.5" customHeight="1" x14ac:dyDescent="0.3">
      <c r="A25" s="267">
        <v>18</v>
      </c>
      <c r="B25" s="319" t="s">
        <v>34</v>
      </c>
      <c r="C25" s="284">
        <v>2101389960</v>
      </c>
      <c r="D25" s="302">
        <v>21013899600</v>
      </c>
      <c r="E25" s="267"/>
      <c r="F25" s="66">
        <v>42915</v>
      </c>
      <c r="G25" s="66">
        <v>43644</v>
      </c>
      <c r="H25" s="268">
        <v>120000</v>
      </c>
      <c r="I25" s="309">
        <f t="shared" si="8"/>
        <v>12000</v>
      </c>
      <c r="J25" s="309">
        <f t="shared" si="9"/>
        <v>132000</v>
      </c>
      <c r="K25" s="66" t="s">
        <v>70</v>
      </c>
      <c r="L25" s="288">
        <v>15</v>
      </c>
      <c r="M25" s="287">
        <v>15</v>
      </c>
      <c r="N25" s="268"/>
      <c r="O25" s="274">
        <v>43840</v>
      </c>
      <c r="P25" s="275">
        <v>43847</v>
      </c>
      <c r="Q25" s="274">
        <v>43871</v>
      </c>
      <c r="R25" s="275">
        <v>43880</v>
      </c>
      <c r="S25" s="274">
        <v>43900</v>
      </c>
      <c r="T25" s="275">
        <v>43908</v>
      </c>
      <c r="U25" s="274">
        <v>43931</v>
      </c>
      <c r="V25" s="275">
        <v>43941</v>
      </c>
      <c r="W25" s="274">
        <v>43962</v>
      </c>
      <c r="X25" s="275">
        <v>43969</v>
      </c>
      <c r="Y25" s="274">
        <v>43992</v>
      </c>
      <c r="Z25" s="275">
        <v>43999</v>
      </c>
      <c r="AA25" s="274">
        <v>44022</v>
      </c>
      <c r="AB25" s="275">
        <v>44029</v>
      </c>
      <c r="AC25" s="274">
        <v>44053</v>
      </c>
      <c r="AD25" s="275">
        <v>44063</v>
      </c>
      <c r="AE25" s="274">
        <v>44084</v>
      </c>
      <c r="AF25" s="275">
        <v>44091</v>
      </c>
      <c r="AG25" s="274">
        <v>44112</v>
      </c>
      <c r="AH25" s="275">
        <v>44123</v>
      </c>
      <c r="AI25" s="274">
        <v>44145</v>
      </c>
      <c r="AJ25" s="275">
        <v>44153</v>
      </c>
      <c r="AK25" s="274">
        <v>44175</v>
      </c>
      <c r="AL25" s="275">
        <v>44182</v>
      </c>
      <c r="AM25" s="66">
        <f t="shared" si="10"/>
        <v>44211</v>
      </c>
      <c r="AN25" s="269" t="str">
        <f t="shared" si="11"/>
        <v>금</v>
      </c>
      <c r="AO25" s="327"/>
      <c r="AP25" s="327"/>
      <c r="AQ25" s="327"/>
      <c r="AR25" s="327"/>
      <c r="AS25" s="327"/>
      <c r="AT25" s="327"/>
      <c r="AW25" s="252"/>
      <c r="AX25" s="252"/>
    </row>
    <row r="26" spans="1:50" ht="22.5" customHeight="1" x14ac:dyDescent="0.3">
      <c r="A26" s="267">
        <v>19</v>
      </c>
      <c r="B26" s="319" t="s">
        <v>41</v>
      </c>
      <c r="C26" s="284">
        <v>7388600579</v>
      </c>
      <c r="D26" s="302">
        <v>73886005790</v>
      </c>
      <c r="E26" s="267"/>
      <c r="F26" s="66">
        <v>42736</v>
      </c>
      <c r="G26" s="66">
        <v>43100</v>
      </c>
      <c r="H26" s="268">
        <v>70000</v>
      </c>
      <c r="I26" s="309">
        <f t="shared" si="8"/>
        <v>7000</v>
      </c>
      <c r="J26" s="309">
        <f t="shared" si="9"/>
        <v>77000</v>
      </c>
      <c r="K26" s="66" t="s">
        <v>70</v>
      </c>
      <c r="L26" s="288">
        <v>20</v>
      </c>
      <c r="M26" s="287">
        <v>31</v>
      </c>
      <c r="N26" s="268"/>
      <c r="O26" s="274">
        <v>43840</v>
      </c>
      <c r="P26" s="275">
        <v>43852</v>
      </c>
      <c r="Q26" s="274">
        <v>43871</v>
      </c>
      <c r="R26" s="275">
        <v>43885</v>
      </c>
      <c r="S26" s="274">
        <v>43900</v>
      </c>
      <c r="T26" s="275">
        <v>43913</v>
      </c>
      <c r="U26" s="274">
        <v>43931</v>
      </c>
      <c r="V26" s="275">
        <v>43943</v>
      </c>
      <c r="W26" s="274">
        <v>43962</v>
      </c>
      <c r="X26" s="275">
        <v>43973</v>
      </c>
      <c r="Y26" s="274">
        <v>43992</v>
      </c>
      <c r="Z26" s="275">
        <v>44006</v>
      </c>
      <c r="AA26" s="274">
        <v>44022</v>
      </c>
      <c r="AB26" s="275">
        <v>44034</v>
      </c>
      <c r="AC26" s="274">
        <v>44053</v>
      </c>
      <c r="AD26" s="275">
        <v>44067</v>
      </c>
      <c r="AE26" s="274">
        <v>44084</v>
      </c>
      <c r="AF26" s="275">
        <v>44097</v>
      </c>
      <c r="AG26" s="274">
        <v>44112</v>
      </c>
      <c r="AH26" s="275">
        <v>44126</v>
      </c>
      <c r="AI26" s="274">
        <v>44145</v>
      </c>
      <c r="AJ26" s="275">
        <v>44162</v>
      </c>
      <c r="AK26" s="274">
        <v>44175</v>
      </c>
      <c r="AL26" s="275">
        <v>44186</v>
      </c>
      <c r="AM26" s="66">
        <f t="shared" si="10"/>
        <v>44196</v>
      </c>
      <c r="AN26" s="269" t="str">
        <f t="shared" si="11"/>
        <v>목</v>
      </c>
      <c r="AO26" s="327"/>
      <c r="AP26" s="327"/>
      <c r="AQ26" s="327"/>
      <c r="AR26" s="327"/>
      <c r="AS26" s="327"/>
      <c r="AT26" s="327"/>
      <c r="AW26" s="252"/>
      <c r="AX26" s="252"/>
    </row>
    <row r="27" spans="1:50" ht="22.5" customHeight="1" x14ac:dyDescent="0.3">
      <c r="A27" s="267">
        <v>20</v>
      </c>
      <c r="B27" s="319" t="s">
        <v>15</v>
      </c>
      <c r="C27" s="284">
        <v>1272941383</v>
      </c>
      <c r="D27" s="302">
        <v>12729413830</v>
      </c>
      <c r="E27" s="267"/>
      <c r="F27" s="66">
        <v>43191</v>
      </c>
      <c r="G27" s="66">
        <v>43555</v>
      </c>
      <c r="H27" s="268">
        <v>50000</v>
      </c>
      <c r="I27" s="309">
        <f t="shared" si="8"/>
        <v>5000</v>
      </c>
      <c r="J27" s="309">
        <f t="shared" si="9"/>
        <v>55000</v>
      </c>
      <c r="K27" s="66" t="s">
        <v>70</v>
      </c>
      <c r="L27" s="288">
        <v>20</v>
      </c>
      <c r="M27" s="287">
        <v>3</v>
      </c>
      <c r="N27" s="268"/>
      <c r="O27" s="274">
        <v>43840</v>
      </c>
      <c r="P27" s="275">
        <v>43852</v>
      </c>
      <c r="Q27" s="274">
        <v>43871</v>
      </c>
      <c r="R27" s="275">
        <v>43885</v>
      </c>
      <c r="S27" s="274">
        <v>43900</v>
      </c>
      <c r="T27" s="275">
        <v>43913</v>
      </c>
      <c r="U27" s="274">
        <v>43931</v>
      </c>
      <c r="V27" s="275">
        <v>43943</v>
      </c>
      <c r="W27" s="274">
        <v>43962</v>
      </c>
      <c r="X27" s="275">
        <v>43973</v>
      </c>
      <c r="Y27" s="274">
        <v>43992</v>
      </c>
      <c r="Z27" s="275">
        <v>44006</v>
      </c>
      <c r="AA27" s="274">
        <v>44022</v>
      </c>
      <c r="AB27" s="275">
        <v>44034</v>
      </c>
      <c r="AC27" s="274">
        <v>44053</v>
      </c>
      <c r="AD27" s="275">
        <v>44067</v>
      </c>
      <c r="AE27" s="274">
        <v>44084</v>
      </c>
      <c r="AF27" s="275">
        <v>44097</v>
      </c>
      <c r="AG27" s="274">
        <v>44112</v>
      </c>
      <c r="AH27" s="275">
        <v>44126</v>
      </c>
      <c r="AI27" s="274">
        <v>44145</v>
      </c>
      <c r="AJ27" s="275">
        <v>44162</v>
      </c>
      <c r="AK27" s="274">
        <v>44175</v>
      </c>
      <c r="AL27" s="275">
        <v>44186</v>
      </c>
      <c r="AM27" s="66">
        <f t="shared" si="10"/>
        <v>44199</v>
      </c>
      <c r="AN27" s="269" t="str">
        <f t="shared" si="11"/>
        <v>일</v>
      </c>
      <c r="AO27" s="327"/>
      <c r="AP27" s="327"/>
      <c r="AQ27" s="327"/>
      <c r="AR27" s="327"/>
      <c r="AS27" s="327"/>
      <c r="AT27" s="327"/>
      <c r="AW27" s="252"/>
      <c r="AX27" s="252"/>
    </row>
    <row r="28" spans="1:50" ht="22.5" customHeight="1" x14ac:dyDescent="0.3">
      <c r="A28" s="267">
        <v>22</v>
      </c>
      <c r="B28" s="319" t="s">
        <v>42</v>
      </c>
      <c r="C28" s="284">
        <v>2108175072</v>
      </c>
      <c r="D28" s="302">
        <v>21081750720</v>
      </c>
      <c r="E28" s="267"/>
      <c r="F28" s="66">
        <v>42950</v>
      </c>
      <c r="G28" s="66">
        <v>43314</v>
      </c>
      <c r="H28" s="268">
        <v>130000</v>
      </c>
      <c r="I28" s="309">
        <f t="shared" si="8"/>
        <v>13000</v>
      </c>
      <c r="J28" s="309">
        <f t="shared" si="9"/>
        <v>143000</v>
      </c>
      <c r="K28" s="66" t="s">
        <v>70</v>
      </c>
      <c r="L28" s="288">
        <v>20</v>
      </c>
      <c r="M28" s="287">
        <v>5</v>
      </c>
      <c r="N28" s="329"/>
      <c r="O28" s="274">
        <v>43840</v>
      </c>
      <c r="P28" s="275">
        <v>43852</v>
      </c>
      <c r="Q28" s="274">
        <v>43871</v>
      </c>
      <c r="R28" s="275">
        <v>43885</v>
      </c>
      <c r="S28" s="274">
        <v>43900</v>
      </c>
      <c r="T28" s="275">
        <v>43913</v>
      </c>
      <c r="U28" s="274">
        <v>43931</v>
      </c>
      <c r="V28" s="275">
        <v>43943</v>
      </c>
      <c r="W28" s="274">
        <v>43962</v>
      </c>
      <c r="X28" s="275">
        <v>43973</v>
      </c>
      <c r="Y28" s="274">
        <v>43992</v>
      </c>
      <c r="Z28" s="275">
        <v>44006</v>
      </c>
      <c r="AA28" s="274">
        <v>44022</v>
      </c>
      <c r="AB28" s="275">
        <v>44034</v>
      </c>
      <c r="AC28" s="274">
        <v>44053</v>
      </c>
      <c r="AD28" s="275">
        <v>44067</v>
      </c>
      <c r="AE28" s="274">
        <v>44084</v>
      </c>
      <c r="AF28" s="275">
        <v>44097</v>
      </c>
      <c r="AG28" s="274">
        <v>44112</v>
      </c>
      <c r="AH28" s="275">
        <v>44126</v>
      </c>
      <c r="AI28" s="274">
        <v>44145</v>
      </c>
      <c r="AJ28" s="275">
        <v>44162</v>
      </c>
      <c r="AK28" s="274">
        <v>44175</v>
      </c>
      <c r="AL28" s="275">
        <v>44186</v>
      </c>
      <c r="AM28" s="66">
        <f t="shared" si="10"/>
        <v>44201</v>
      </c>
      <c r="AN28" s="269" t="str">
        <f t="shared" si="11"/>
        <v>화</v>
      </c>
      <c r="AO28" s="327"/>
      <c r="AP28" s="327"/>
      <c r="AQ28" s="327"/>
      <c r="AR28" s="327"/>
      <c r="AS28" s="327"/>
      <c r="AT28" s="327"/>
      <c r="AW28" s="252"/>
      <c r="AX28" s="252"/>
    </row>
    <row r="29" spans="1:50" ht="22.5" customHeight="1" x14ac:dyDescent="0.3">
      <c r="A29" s="267">
        <v>21</v>
      </c>
      <c r="B29" s="319" t="s">
        <v>16</v>
      </c>
      <c r="C29" s="284">
        <v>4709000461</v>
      </c>
      <c r="D29" s="302">
        <v>47090004610</v>
      </c>
      <c r="E29" s="267"/>
      <c r="F29" s="66">
        <v>42948</v>
      </c>
      <c r="G29" s="66">
        <v>43677</v>
      </c>
      <c r="H29" s="268">
        <v>370000</v>
      </c>
      <c r="I29" s="309">
        <f t="shared" si="8"/>
        <v>37000</v>
      </c>
      <c r="J29" s="309">
        <f t="shared" si="9"/>
        <v>407000</v>
      </c>
      <c r="K29" s="66" t="s">
        <v>70</v>
      </c>
      <c r="L29" s="288">
        <v>20</v>
      </c>
      <c r="M29" s="287">
        <v>7</v>
      </c>
      <c r="N29" s="316"/>
      <c r="O29" s="274">
        <v>43840</v>
      </c>
      <c r="P29" s="275">
        <v>43852</v>
      </c>
      <c r="Q29" s="274">
        <v>43871</v>
      </c>
      <c r="R29" s="275">
        <v>43885</v>
      </c>
      <c r="S29" s="274">
        <v>43900</v>
      </c>
      <c r="T29" s="275">
        <v>43913</v>
      </c>
      <c r="U29" s="274">
        <v>43931</v>
      </c>
      <c r="V29" s="275">
        <v>43943</v>
      </c>
      <c r="W29" s="274">
        <v>43962</v>
      </c>
      <c r="X29" s="275">
        <v>43973</v>
      </c>
      <c r="Y29" s="274">
        <v>43992</v>
      </c>
      <c r="Z29" s="275">
        <v>44006</v>
      </c>
      <c r="AA29" s="274">
        <v>44022</v>
      </c>
      <c r="AB29" s="275">
        <v>44034</v>
      </c>
      <c r="AC29" s="274">
        <v>44053</v>
      </c>
      <c r="AD29" s="275">
        <v>44067</v>
      </c>
      <c r="AE29" s="274">
        <v>44084</v>
      </c>
      <c r="AF29" s="275">
        <v>44097</v>
      </c>
      <c r="AG29" s="276">
        <v>44112</v>
      </c>
      <c r="AH29" s="277">
        <v>44126</v>
      </c>
      <c r="AI29" s="274">
        <v>44145</v>
      </c>
      <c r="AJ29" s="275">
        <v>44162</v>
      </c>
      <c r="AK29" s="274">
        <v>44175</v>
      </c>
      <c r="AL29" s="275">
        <v>44186</v>
      </c>
      <c r="AM29" s="66">
        <f t="shared" si="10"/>
        <v>44203</v>
      </c>
      <c r="AN29" s="269" t="str">
        <f t="shared" si="11"/>
        <v>목</v>
      </c>
      <c r="AO29" s="327"/>
      <c r="AP29" s="327"/>
      <c r="AQ29" s="327"/>
      <c r="AR29" s="327"/>
      <c r="AS29" s="327"/>
      <c r="AT29" s="327"/>
      <c r="AW29" s="252"/>
      <c r="AX29" s="252"/>
    </row>
    <row r="30" spans="1:50" ht="22.5" customHeight="1" x14ac:dyDescent="0.3">
      <c r="A30" s="267">
        <v>23</v>
      </c>
      <c r="B30" s="319" t="s">
        <v>31</v>
      </c>
      <c r="C30" s="284">
        <v>2048633669</v>
      </c>
      <c r="D30" s="302">
        <v>20486336690</v>
      </c>
      <c r="E30" s="267"/>
      <c r="F30" s="66">
        <v>43388</v>
      </c>
      <c r="G30" s="66">
        <v>43752</v>
      </c>
      <c r="H30" s="268">
        <v>150000</v>
      </c>
      <c r="I30" s="309">
        <f t="shared" si="8"/>
        <v>15000</v>
      </c>
      <c r="J30" s="309">
        <f t="shared" si="9"/>
        <v>165000</v>
      </c>
      <c r="K30" s="66" t="s">
        <v>70</v>
      </c>
      <c r="L30" s="288">
        <v>20</v>
      </c>
      <c r="M30" s="287">
        <v>10</v>
      </c>
      <c r="N30" s="325"/>
      <c r="O30" s="274">
        <v>43840</v>
      </c>
      <c r="P30" s="275">
        <v>43852</v>
      </c>
      <c r="Q30" s="274">
        <v>43871</v>
      </c>
      <c r="R30" s="275">
        <v>43885</v>
      </c>
      <c r="S30" s="274">
        <v>43900</v>
      </c>
      <c r="T30" s="275">
        <v>43913</v>
      </c>
      <c r="U30" s="274">
        <v>43931</v>
      </c>
      <c r="V30" s="275">
        <v>43943</v>
      </c>
      <c r="W30" s="274">
        <v>43962</v>
      </c>
      <c r="X30" s="275">
        <v>43973</v>
      </c>
      <c r="Y30" s="274">
        <v>43992</v>
      </c>
      <c r="Z30" s="275">
        <v>44006</v>
      </c>
      <c r="AA30" s="274">
        <v>44022</v>
      </c>
      <c r="AB30" s="275">
        <v>44034</v>
      </c>
      <c r="AC30" s="274">
        <v>44053</v>
      </c>
      <c r="AD30" s="275">
        <v>44067</v>
      </c>
      <c r="AE30" s="274">
        <v>44084</v>
      </c>
      <c r="AF30" s="275">
        <v>44097</v>
      </c>
      <c r="AG30" s="274">
        <v>44112</v>
      </c>
      <c r="AH30" s="275">
        <v>44126</v>
      </c>
      <c r="AI30" s="274">
        <v>44145</v>
      </c>
      <c r="AJ30" s="275">
        <v>44162</v>
      </c>
      <c r="AK30" s="274">
        <v>44175</v>
      </c>
      <c r="AL30" s="275">
        <v>44186</v>
      </c>
      <c r="AM30" s="66">
        <f t="shared" si="10"/>
        <v>44206</v>
      </c>
      <c r="AN30" s="269" t="str">
        <f t="shared" si="11"/>
        <v>일</v>
      </c>
      <c r="AO30" s="327"/>
      <c r="AP30" s="327"/>
      <c r="AQ30" s="327"/>
      <c r="AR30" s="327"/>
      <c r="AS30" s="327"/>
      <c r="AT30" s="327"/>
      <c r="AW30" s="252"/>
      <c r="AX30" s="252"/>
    </row>
    <row r="31" spans="1:50" ht="22.5" customHeight="1" x14ac:dyDescent="0.3">
      <c r="A31" s="267">
        <f>A30+1</f>
        <v>24</v>
      </c>
      <c r="B31" s="319" t="s">
        <v>599</v>
      </c>
      <c r="C31" s="284">
        <v>5748101983</v>
      </c>
      <c r="D31" s="302">
        <v>57481019830</v>
      </c>
      <c r="E31" s="267"/>
      <c r="F31" s="66">
        <v>44136</v>
      </c>
      <c r="G31" s="66">
        <v>44500</v>
      </c>
      <c r="H31" s="268">
        <v>100000</v>
      </c>
      <c r="I31" s="309">
        <f t="shared" si="8"/>
        <v>10000</v>
      </c>
      <c r="J31" s="309">
        <f t="shared" si="9"/>
        <v>110000</v>
      </c>
      <c r="K31" s="66" t="s">
        <v>70</v>
      </c>
      <c r="L31" s="289">
        <v>25</v>
      </c>
      <c r="M31" s="290">
        <v>25</v>
      </c>
      <c r="N31" s="328"/>
      <c r="O31" s="272" t="s">
        <v>574</v>
      </c>
      <c r="P31" s="273" t="s">
        <v>574</v>
      </c>
      <c r="Q31" s="272" t="s">
        <v>574</v>
      </c>
      <c r="R31" s="273" t="s">
        <v>574</v>
      </c>
      <c r="S31" s="272" t="s">
        <v>574</v>
      </c>
      <c r="T31" s="273" t="s">
        <v>574</v>
      </c>
      <c r="U31" s="272" t="s">
        <v>574</v>
      </c>
      <c r="V31" s="273" t="s">
        <v>574</v>
      </c>
      <c r="W31" s="272" t="s">
        <v>574</v>
      </c>
      <c r="X31" s="273" t="s">
        <v>574</v>
      </c>
      <c r="Y31" s="272" t="s">
        <v>574</v>
      </c>
      <c r="Z31" s="273" t="s">
        <v>574</v>
      </c>
      <c r="AA31" s="272" t="s">
        <v>574</v>
      </c>
      <c r="AB31" s="273" t="s">
        <v>574</v>
      </c>
      <c r="AC31" s="272" t="s">
        <v>574</v>
      </c>
      <c r="AD31" s="273" t="s">
        <v>574</v>
      </c>
      <c r="AE31" s="272" t="s">
        <v>574</v>
      </c>
      <c r="AF31" s="273" t="s">
        <v>574</v>
      </c>
      <c r="AG31" s="272" t="s">
        <v>574</v>
      </c>
      <c r="AH31" s="273" t="s">
        <v>574</v>
      </c>
      <c r="AI31" s="278">
        <v>44155</v>
      </c>
      <c r="AJ31" s="279">
        <v>44162</v>
      </c>
      <c r="AK31" s="278">
        <v>44185</v>
      </c>
      <c r="AL31" s="279">
        <v>44195</v>
      </c>
      <c r="AM31" s="66">
        <f t="shared" si="10"/>
        <v>44190</v>
      </c>
      <c r="AN31" s="269" t="str">
        <f t="shared" si="11"/>
        <v>금</v>
      </c>
      <c r="AO31" s="327"/>
      <c r="AP31" s="327"/>
      <c r="AQ31" s="327"/>
      <c r="AR31" s="327"/>
      <c r="AS31" s="327"/>
      <c r="AT31" s="327"/>
      <c r="AW31" s="252"/>
      <c r="AX31" s="252"/>
    </row>
    <row r="32" spans="1:50" ht="22.5" customHeight="1" x14ac:dyDescent="0.3">
      <c r="A32" s="267">
        <v>24</v>
      </c>
      <c r="B32" s="319" t="s">
        <v>37</v>
      </c>
      <c r="C32" s="284">
        <v>2101710952</v>
      </c>
      <c r="D32" s="302">
        <v>21017109520</v>
      </c>
      <c r="E32" s="267"/>
      <c r="F32" s="66">
        <v>42522</v>
      </c>
      <c r="G32" s="66">
        <v>42886</v>
      </c>
      <c r="H32" s="268">
        <v>50000</v>
      </c>
      <c r="I32" s="309">
        <f t="shared" si="8"/>
        <v>5000</v>
      </c>
      <c r="J32" s="309">
        <f t="shared" si="9"/>
        <v>55000</v>
      </c>
      <c r="K32" s="66" t="s">
        <v>474</v>
      </c>
      <c r="L32" s="289">
        <v>25</v>
      </c>
      <c r="M32" s="287">
        <v>25</v>
      </c>
      <c r="N32" s="315"/>
      <c r="O32" s="278">
        <v>43850</v>
      </c>
      <c r="P32" s="279">
        <v>43850</v>
      </c>
      <c r="Q32" s="278">
        <v>43881</v>
      </c>
      <c r="R32" s="279">
        <v>43881</v>
      </c>
      <c r="S32" s="278">
        <v>43910</v>
      </c>
      <c r="T32" s="279">
        <v>43916</v>
      </c>
      <c r="U32" s="278">
        <v>43942</v>
      </c>
      <c r="V32" s="279">
        <v>43946</v>
      </c>
      <c r="W32" s="278">
        <v>43971</v>
      </c>
      <c r="X32" s="279">
        <v>44014</v>
      </c>
      <c r="Y32" s="278">
        <v>44002</v>
      </c>
      <c r="Z32" s="279">
        <v>44014</v>
      </c>
      <c r="AA32" s="278">
        <v>44032</v>
      </c>
      <c r="AB32" s="279">
        <v>44049</v>
      </c>
      <c r="AC32" s="278">
        <v>44063</v>
      </c>
      <c r="AD32" s="279">
        <v>44068</v>
      </c>
      <c r="AE32" s="278">
        <v>44095</v>
      </c>
      <c r="AF32" s="279">
        <v>44116</v>
      </c>
      <c r="AG32" s="278">
        <v>44124</v>
      </c>
      <c r="AH32" s="279">
        <v>44131</v>
      </c>
      <c r="AI32" s="278">
        <v>44155</v>
      </c>
      <c r="AJ32" s="277">
        <v>44217</v>
      </c>
      <c r="AK32" s="278">
        <v>44185</v>
      </c>
      <c r="AL32" s="277">
        <v>44217</v>
      </c>
      <c r="AM32" s="66">
        <f t="shared" si="10"/>
        <v>44190</v>
      </c>
      <c r="AN32" s="269" t="str">
        <f t="shared" si="11"/>
        <v>금</v>
      </c>
      <c r="AO32" s="327"/>
      <c r="AP32" s="327"/>
      <c r="AQ32" s="327"/>
      <c r="AR32" s="327"/>
      <c r="AS32" s="327"/>
      <c r="AT32" s="327"/>
      <c r="AW32" s="252"/>
      <c r="AX32" s="252"/>
    </row>
    <row r="33" spans="1:50" ht="22.5" customHeight="1" x14ac:dyDescent="0.3">
      <c r="A33" s="267">
        <v>25</v>
      </c>
      <c r="B33" s="319" t="s">
        <v>589</v>
      </c>
      <c r="C33" s="284">
        <v>6160598681</v>
      </c>
      <c r="D33" s="302">
        <v>61605986810</v>
      </c>
      <c r="E33" s="267"/>
      <c r="F33" s="66">
        <v>0</v>
      </c>
      <c r="G33" s="66">
        <v>0</v>
      </c>
      <c r="H33" s="268">
        <v>100000</v>
      </c>
      <c r="I33" s="309">
        <f t="shared" si="8"/>
        <v>10000</v>
      </c>
      <c r="J33" s="309">
        <f t="shared" si="9"/>
        <v>110000</v>
      </c>
      <c r="K33" s="66" t="s">
        <v>474</v>
      </c>
      <c r="L33" s="289">
        <v>25</v>
      </c>
      <c r="M33" s="287">
        <v>25</v>
      </c>
      <c r="N33" s="312" t="s">
        <v>598</v>
      </c>
      <c r="O33" s="278">
        <v>43850</v>
      </c>
      <c r="P33" s="279">
        <v>43850</v>
      </c>
      <c r="Q33" s="278">
        <v>43881</v>
      </c>
      <c r="R33" s="279">
        <v>43887</v>
      </c>
      <c r="S33" s="278">
        <v>43910</v>
      </c>
      <c r="T33" s="279">
        <v>43915</v>
      </c>
      <c r="U33" s="278">
        <v>43942</v>
      </c>
      <c r="V33" s="279">
        <v>43944</v>
      </c>
      <c r="W33" s="278">
        <v>43971</v>
      </c>
      <c r="X33" s="279">
        <v>43974</v>
      </c>
      <c r="Y33" s="278">
        <v>44002</v>
      </c>
      <c r="Z33" s="279">
        <v>44006</v>
      </c>
      <c r="AA33" s="278">
        <v>44032</v>
      </c>
      <c r="AB33" s="279">
        <v>44035</v>
      </c>
      <c r="AC33" s="278">
        <v>44063</v>
      </c>
      <c r="AD33" s="279">
        <v>44068</v>
      </c>
      <c r="AE33" s="278">
        <v>44095</v>
      </c>
      <c r="AF33" s="279">
        <v>44097</v>
      </c>
      <c r="AG33" s="278">
        <v>44124</v>
      </c>
      <c r="AH33" s="279">
        <v>44126</v>
      </c>
      <c r="AI33" s="278">
        <v>44155</v>
      </c>
      <c r="AJ33" s="279">
        <v>44160</v>
      </c>
      <c r="AK33" s="278">
        <v>44185</v>
      </c>
      <c r="AL33" s="279">
        <v>44187</v>
      </c>
      <c r="AM33" s="66">
        <f t="shared" si="10"/>
        <v>44190</v>
      </c>
      <c r="AN33" s="269" t="str">
        <f t="shared" si="11"/>
        <v>금</v>
      </c>
      <c r="AO33" s="327"/>
      <c r="AP33" s="327"/>
      <c r="AQ33" s="327"/>
      <c r="AR33" s="327"/>
      <c r="AS33" s="327"/>
      <c r="AT33" s="327"/>
      <c r="AW33" s="252"/>
      <c r="AX33" s="252"/>
    </row>
    <row r="34" spans="1:50" ht="22.5" customHeight="1" x14ac:dyDescent="0.3">
      <c r="A34" s="267">
        <v>26</v>
      </c>
      <c r="B34" s="319" t="s">
        <v>478</v>
      </c>
      <c r="C34" s="284">
        <v>2178134257</v>
      </c>
      <c r="D34" s="302">
        <v>21781342570</v>
      </c>
      <c r="E34" s="267"/>
      <c r="F34" s="66">
        <v>43491</v>
      </c>
      <c r="G34" s="66">
        <v>43855</v>
      </c>
      <c r="H34" s="268">
        <v>120000</v>
      </c>
      <c r="I34" s="309">
        <f t="shared" si="8"/>
        <v>12000</v>
      </c>
      <c r="J34" s="309">
        <f t="shared" si="9"/>
        <v>132000</v>
      </c>
      <c r="K34" s="66" t="s">
        <v>70</v>
      </c>
      <c r="L34" s="289">
        <v>25</v>
      </c>
      <c r="M34" s="287">
        <v>25</v>
      </c>
      <c r="N34" s="268"/>
      <c r="O34" s="278">
        <v>43850</v>
      </c>
      <c r="P34" s="279">
        <v>43860</v>
      </c>
      <c r="Q34" s="278">
        <v>43881</v>
      </c>
      <c r="R34" s="279">
        <v>43888</v>
      </c>
      <c r="S34" s="278">
        <v>43910</v>
      </c>
      <c r="T34" s="279">
        <v>43917</v>
      </c>
      <c r="U34" s="278">
        <v>43942</v>
      </c>
      <c r="V34" s="279">
        <v>43950</v>
      </c>
      <c r="W34" s="278">
        <v>43971</v>
      </c>
      <c r="X34" s="279">
        <v>43978</v>
      </c>
      <c r="Y34" s="278">
        <v>44002</v>
      </c>
      <c r="Z34" s="279">
        <v>44011</v>
      </c>
      <c r="AA34" s="278">
        <v>44032</v>
      </c>
      <c r="AB34" s="279">
        <v>44041</v>
      </c>
      <c r="AC34" s="278">
        <v>44063</v>
      </c>
      <c r="AD34" s="279">
        <v>44070</v>
      </c>
      <c r="AE34" s="278">
        <v>44095</v>
      </c>
      <c r="AF34" s="279">
        <v>44102</v>
      </c>
      <c r="AG34" s="278">
        <v>44124</v>
      </c>
      <c r="AH34" s="279">
        <v>44132</v>
      </c>
      <c r="AI34" s="278">
        <v>44155</v>
      </c>
      <c r="AJ34" s="279">
        <v>44162</v>
      </c>
      <c r="AK34" s="278">
        <v>44185</v>
      </c>
      <c r="AL34" s="279">
        <v>44195</v>
      </c>
      <c r="AM34" s="66">
        <f t="shared" si="10"/>
        <v>44190</v>
      </c>
      <c r="AN34" s="269" t="str">
        <f t="shared" si="11"/>
        <v>금</v>
      </c>
      <c r="AO34" s="327"/>
      <c r="AP34" s="327"/>
      <c r="AQ34" s="327"/>
      <c r="AR34" s="327"/>
      <c r="AS34" s="327"/>
      <c r="AT34" s="327"/>
      <c r="AW34" s="252"/>
      <c r="AX34" s="252"/>
    </row>
    <row r="35" spans="1:50" ht="22.5" customHeight="1" x14ac:dyDescent="0.3">
      <c r="A35" s="267">
        <v>28</v>
      </c>
      <c r="B35" s="319" t="s">
        <v>17</v>
      </c>
      <c r="C35" s="284">
        <v>4079900433</v>
      </c>
      <c r="D35" s="302">
        <v>40799004330</v>
      </c>
      <c r="E35" s="324"/>
      <c r="F35" s="66">
        <v>43004</v>
      </c>
      <c r="G35" s="66">
        <v>43733</v>
      </c>
      <c r="H35" s="325">
        <v>400000</v>
      </c>
      <c r="I35" s="325">
        <f t="shared" si="8"/>
        <v>40000</v>
      </c>
      <c r="J35" s="325">
        <f t="shared" si="9"/>
        <v>440000</v>
      </c>
      <c r="K35" s="66" t="s">
        <v>70</v>
      </c>
      <c r="L35" s="289">
        <v>25</v>
      </c>
      <c r="M35" s="287">
        <v>5</v>
      </c>
      <c r="N35" s="311" t="s">
        <v>597</v>
      </c>
      <c r="O35" s="278">
        <v>43850</v>
      </c>
      <c r="P35" s="279">
        <v>43860</v>
      </c>
      <c r="Q35" s="278">
        <v>43881</v>
      </c>
      <c r="R35" s="279">
        <v>43888</v>
      </c>
      <c r="S35" s="278">
        <v>43910</v>
      </c>
      <c r="T35" s="279">
        <v>43917</v>
      </c>
      <c r="U35" s="278">
        <v>43942</v>
      </c>
      <c r="V35" s="279">
        <v>43950</v>
      </c>
      <c r="W35" s="278">
        <v>43971</v>
      </c>
      <c r="X35" s="279">
        <v>43978</v>
      </c>
      <c r="Y35" s="278">
        <v>44002</v>
      </c>
      <c r="Z35" s="279">
        <v>44011</v>
      </c>
      <c r="AA35" s="278">
        <v>44032</v>
      </c>
      <c r="AB35" s="279">
        <v>44041</v>
      </c>
      <c r="AC35" s="278">
        <v>44063</v>
      </c>
      <c r="AD35" s="279">
        <v>44070</v>
      </c>
      <c r="AE35" s="278">
        <v>44095</v>
      </c>
      <c r="AF35" s="279">
        <v>44102</v>
      </c>
      <c r="AG35" s="276">
        <v>44124</v>
      </c>
      <c r="AH35" s="277">
        <v>44132</v>
      </c>
      <c r="AI35" s="278">
        <v>44155</v>
      </c>
      <c r="AJ35" s="279">
        <v>44162</v>
      </c>
      <c r="AK35" s="278">
        <v>44185</v>
      </c>
      <c r="AL35" s="279">
        <v>44195</v>
      </c>
      <c r="AM35" s="66">
        <f t="shared" si="10"/>
        <v>44201</v>
      </c>
      <c r="AN35" s="269" t="str">
        <f t="shared" si="11"/>
        <v>화</v>
      </c>
      <c r="AO35" s="327"/>
      <c r="AP35" s="327"/>
      <c r="AQ35" s="327"/>
      <c r="AR35" s="327"/>
      <c r="AS35" s="327"/>
      <c r="AT35" s="327"/>
      <c r="AW35" s="252"/>
      <c r="AX35" s="252"/>
    </row>
    <row r="36" spans="1:50" ht="22.5" customHeight="1" x14ac:dyDescent="0.3">
      <c r="A36" s="267">
        <v>31</v>
      </c>
      <c r="B36" s="319" t="s">
        <v>44</v>
      </c>
      <c r="C36" s="284">
        <v>2098146752</v>
      </c>
      <c r="D36" s="302">
        <v>20981467520</v>
      </c>
      <c r="E36" s="267"/>
      <c r="F36" s="66">
        <v>43070</v>
      </c>
      <c r="G36" s="66">
        <v>43465</v>
      </c>
      <c r="H36" s="268">
        <v>100000</v>
      </c>
      <c r="I36" s="309">
        <f t="shared" si="8"/>
        <v>10000</v>
      </c>
      <c r="J36" s="309">
        <f t="shared" si="9"/>
        <v>110000</v>
      </c>
      <c r="K36" s="66" t="s">
        <v>70</v>
      </c>
      <c r="L36" s="289">
        <v>30</v>
      </c>
      <c r="M36" s="287">
        <v>31</v>
      </c>
      <c r="N36" s="325"/>
      <c r="O36" s="278">
        <v>43850</v>
      </c>
      <c r="P36" s="279">
        <v>43864</v>
      </c>
      <c r="Q36" s="278">
        <v>43881</v>
      </c>
      <c r="R36" s="279">
        <v>43894</v>
      </c>
      <c r="S36" s="278">
        <v>43910</v>
      </c>
      <c r="T36" s="279">
        <v>43922</v>
      </c>
      <c r="U36" s="278">
        <v>43942</v>
      </c>
      <c r="V36" s="279">
        <v>43957</v>
      </c>
      <c r="W36" s="278">
        <v>43971</v>
      </c>
      <c r="X36" s="279">
        <v>43985</v>
      </c>
      <c r="Y36" s="278">
        <v>44002</v>
      </c>
      <c r="Z36" s="279">
        <v>44014</v>
      </c>
      <c r="AA36" s="278">
        <v>44032</v>
      </c>
      <c r="AB36" s="279">
        <v>44046</v>
      </c>
      <c r="AC36" s="278">
        <v>44063</v>
      </c>
      <c r="AD36" s="279">
        <v>44076</v>
      </c>
      <c r="AE36" s="278">
        <v>44095</v>
      </c>
      <c r="AF36" s="279">
        <v>44111</v>
      </c>
      <c r="AG36" s="278">
        <v>44124</v>
      </c>
      <c r="AH36" s="279">
        <v>44137</v>
      </c>
      <c r="AI36" s="278">
        <v>44155</v>
      </c>
      <c r="AJ36" s="279">
        <v>44167</v>
      </c>
      <c r="AK36" s="278">
        <v>44185</v>
      </c>
      <c r="AL36" s="279">
        <v>44200</v>
      </c>
      <c r="AM36" s="66">
        <f t="shared" si="10"/>
        <v>44196</v>
      </c>
      <c r="AN36" s="269" t="str">
        <f t="shared" si="11"/>
        <v>목</v>
      </c>
      <c r="AO36" s="327"/>
      <c r="AP36" s="327"/>
      <c r="AQ36" s="327"/>
      <c r="AR36" s="327"/>
      <c r="AS36" s="327"/>
      <c r="AT36" s="327"/>
      <c r="AW36" s="252"/>
      <c r="AX36" s="252"/>
    </row>
    <row r="37" spans="1:50" ht="22.5" customHeight="1" x14ac:dyDescent="0.3">
      <c r="A37" s="267">
        <v>36</v>
      </c>
      <c r="B37" s="319" t="s">
        <v>584</v>
      </c>
      <c r="C37" s="284">
        <v>5010492826</v>
      </c>
      <c r="D37" s="302">
        <v>50104928260</v>
      </c>
      <c r="E37" s="267"/>
      <c r="F37" s="66">
        <v>44013</v>
      </c>
      <c r="G37" s="66">
        <v>44377</v>
      </c>
      <c r="H37" s="268">
        <v>100000</v>
      </c>
      <c r="I37" s="309">
        <f t="shared" si="8"/>
        <v>10000</v>
      </c>
      <c r="J37" s="309">
        <f t="shared" si="9"/>
        <v>110000</v>
      </c>
      <c r="K37" s="66" t="s">
        <v>70</v>
      </c>
      <c r="L37" s="289">
        <v>30</v>
      </c>
      <c r="M37" s="287">
        <v>5</v>
      </c>
      <c r="N37" s="329"/>
      <c r="O37" s="272"/>
      <c r="P37" s="273"/>
      <c r="Q37" s="272" t="s">
        <v>574</v>
      </c>
      <c r="R37" s="273" t="s">
        <v>574</v>
      </c>
      <c r="S37" s="272" t="s">
        <v>574</v>
      </c>
      <c r="T37" s="273" t="s">
        <v>574</v>
      </c>
      <c r="U37" s="272" t="s">
        <v>574</v>
      </c>
      <c r="V37" s="273" t="s">
        <v>574</v>
      </c>
      <c r="W37" s="272" t="s">
        <v>574</v>
      </c>
      <c r="X37" s="273" t="s">
        <v>574</v>
      </c>
      <c r="Y37" s="272" t="s">
        <v>574</v>
      </c>
      <c r="Z37" s="273" t="s">
        <v>574</v>
      </c>
      <c r="AA37" s="278">
        <v>44032</v>
      </c>
      <c r="AB37" s="279">
        <v>44046</v>
      </c>
      <c r="AC37" s="278">
        <v>44063</v>
      </c>
      <c r="AD37" s="279">
        <v>44076</v>
      </c>
      <c r="AE37" s="278">
        <v>44095</v>
      </c>
      <c r="AF37" s="279">
        <v>44111</v>
      </c>
      <c r="AG37" s="278">
        <v>44124</v>
      </c>
      <c r="AH37" s="279">
        <v>44137</v>
      </c>
      <c r="AI37" s="278">
        <v>44155</v>
      </c>
      <c r="AJ37" s="279">
        <v>44167</v>
      </c>
      <c r="AK37" s="278">
        <v>44185</v>
      </c>
      <c r="AL37" s="279">
        <v>44200</v>
      </c>
      <c r="AM37" s="66">
        <f t="shared" si="10"/>
        <v>44201</v>
      </c>
      <c r="AN37" s="269" t="str">
        <f t="shared" si="11"/>
        <v>화</v>
      </c>
      <c r="AO37" s="327"/>
      <c r="AP37" s="327"/>
      <c r="AQ37" s="327"/>
      <c r="AR37" s="327"/>
      <c r="AS37" s="327"/>
      <c r="AT37" s="327"/>
      <c r="AW37" s="252"/>
      <c r="AX37" s="252"/>
    </row>
    <row r="38" spans="1:50" ht="22.5" customHeight="1" x14ac:dyDescent="0.3">
      <c r="A38" s="267">
        <v>37</v>
      </c>
      <c r="B38" s="319" t="s">
        <v>590</v>
      </c>
      <c r="C38" s="284">
        <v>2377700230</v>
      </c>
      <c r="D38" s="302">
        <v>23777002300</v>
      </c>
      <c r="E38" s="267"/>
      <c r="F38" s="66">
        <v>44013</v>
      </c>
      <c r="G38" s="66">
        <v>44377</v>
      </c>
      <c r="H38" s="268">
        <v>100000</v>
      </c>
      <c r="I38" s="309">
        <f t="shared" si="8"/>
        <v>10000</v>
      </c>
      <c r="J38" s="309">
        <f t="shared" si="9"/>
        <v>110000</v>
      </c>
      <c r="K38" s="66" t="s">
        <v>70</v>
      </c>
      <c r="L38" s="289">
        <v>30</v>
      </c>
      <c r="M38" s="287">
        <v>5</v>
      </c>
      <c r="N38" s="329"/>
      <c r="O38" s="272"/>
      <c r="P38" s="273"/>
      <c r="Q38" s="272" t="s">
        <v>574</v>
      </c>
      <c r="R38" s="273" t="s">
        <v>574</v>
      </c>
      <c r="S38" s="272" t="s">
        <v>574</v>
      </c>
      <c r="T38" s="273" t="s">
        <v>574</v>
      </c>
      <c r="U38" s="272" t="s">
        <v>574</v>
      </c>
      <c r="V38" s="273" t="s">
        <v>574</v>
      </c>
      <c r="W38" s="272" t="s">
        <v>574</v>
      </c>
      <c r="X38" s="273" t="s">
        <v>574</v>
      </c>
      <c r="Y38" s="272" t="s">
        <v>574</v>
      </c>
      <c r="Z38" s="273" t="s">
        <v>574</v>
      </c>
      <c r="AA38" s="278">
        <v>44032</v>
      </c>
      <c r="AB38" s="279">
        <v>44046</v>
      </c>
      <c r="AC38" s="278">
        <v>44063</v>
      </c>
      <c r="AD38" s="279">
        <v>44076</v>
      </c>
      <c r="AE38" s="278">
        <v>44095</v>
      </c>
      <c r="AF38" s="279">
        <v>44111</v>
      </c>
      <c r="AG38" s="278">
        <v>44124</v>
      </c>
      <c r="AH38" s="279">
        <v>44137</v>
      </c>
      <c r="AI38" s="278">
        <v>44155</v>
      </c>
      <c r="AJ38" s="279">
        <v>44167</v>
      </c>
      <c r="AK38" s="278">
        <v>44185</v>
      </c>
      <c r="AL38" s="279">
        <v>44200</v>
      </c>
      <c r="AM38" s="66">
        <f t="shared" si="10"/>
        <v>44201</v>
      </c>
      <c r="AN38" s="269" t="str">
        <f t="shared" si="11"/>
        <v>화</v>
      </c>
      <c r="AO38" s="327"/>
      <c r="AP38" s="327"/>
      <c r="AQ38" s="327"/>
      <c r="AR38" s="327"/>
      <c r="AS38" s="327"/>
      <c r="AT38" s="327"/>
      <c r="AW38" s="252"/>
      <c r="AX38" s="252"/>
    </row>
    <row r="39" spans="1:50" ht="22.5" customHeight="1" x14ac:dyDescent="0.3">
      <c r="A39" s="267">
        <v>34</v>
      </c>
      <c r="B39" s="319" t="s">
        <v>480</v>
      </c>
      <c r="C39" s="284">
        <v>7488000706</v>
      </c>
      <c r="D39" s="302">
        <v>74880007060</v>
      </c>
      <c r="E39" s="267"/>
      <c r="F39" s="66">
        <v>42917</v>
      </c>
      <c r="G39" s="66">
        <v>43281</v>
      </c>
      <c r="H39" s="268">
        <v>150000</v>
      </c>
      <c r="I39" s="309">
        <f t="shared" si="8"/>
        <v>15000</v>
      </c>
      <c r="J39" s="309">
        <f t="shared" si="9"/>
        <v>165000</v>
      </c>
      <c r="K39" s="66" t="s">
        <v>70</v>
      </c>
      <c r="L39" s="289">
        <v>31</v>
      </c>
      <c r="M39" s="287">
        <v>31</v>
      </c>
      <c r="N39" s="316"/>
      <c r="O39" s="278">
        <v>43850</v>
      </c>
      <c r="P39" s="279">
        <v>43864</v>
      </c>
      <c r="Q39" s="278">
        <v>43881</v>
      </c>
      <c r="R39" s="279">
        <v>43894</v>
      </c>
      <c r="S39" s="278">
        <v>43910</v>
      </c>
      <c r="T39" s="279">
        <v>43923</v>
      </c>
      <c r="U39" s="278">
        <v>43942</v>
      </c>
      <c r="V39" s="279">
        <v>43957</v>
      </c>
      <c r="W39" s="278">
        <v>43971</v>
      </c>
      <c r="X39" s="279">
        <v>43985</v>
      </c>
      <c r="Y39" s="278">
        <v>44002</v>
      </c>
      <c r="Z39" s="279">
        <v>44014</v>
      </c>
      <c r="AA39" s="278">
        <v>44032</v>
      </c>
      <c r="AB39" s="279">
        <v>44046</v>
      </c>
      <c r="AC39" s="278">
        <v>44063</v>
      </c>
      <c r="AD39" s="279">
        <v>44076</v>
      </c>
      <c r="AE39" s="278">
        <v>44095</v>
      </c>
      <c r="AF39" s="279">
        <v>44111</v>
      </c>
      <c r="AG39" s="278">
        <v>44124</v>
      </c>
      <c r="AH39" s="279">
        <v>44138</v>
      </c>
      <c r="AI39" s="278">
        <v>44155</v>
      </c>
      <c r="AJ39" s="279">
        <v>44167</v>
      </c>
      <c r="AK39" s="278">
        <v>44185</v>
      </c>
      <c r="AL39" s="279">
        <v>44200</v>
      </c>
      <c r="AM39" s="66">
        <f t="shared" si="10"/>
        <v>44196</v>
      </c>
      <c r="AN39" s="269" t="str">
        <f t="shared" si="11"/>
        <v>목</v>
      </c>
      <c r="AO39" s="327"/>
      <c r="AP39" s="327"/>
      <c r="AQ39" s="327"/>
      <c r="AR39" s="327"/>
      <c r="AS39" s="327"/>
      <c r="AT39" s="327"/>
      <c r="AW39" s="252"/>
      <c r="AX39" s="252"/>
    </row>
    <row r="40" spans="1:50" ht="22.5" customHeight="1" x14ac:dyDescent="0.3">
      <c r="A40" s="267">
        <v>35</v>
      </c>
      <c r="B40" s="319" t="s">
        <v>481</v>
      </c>
      <c r="C40" s="284">
        <v>2258600020</v>
      </c>
      <c r="D40" s="302">
        <v>22586000200</v>
      </c>
      <c r="E40" s="267"/>
      <c r="F40" s="66">
        <v>43586</v>
      </c>
      <c r="G40" s="66">
        <v>43951</v>
      </c>
      <c r="H40" s="268">
        <v>100000</v>
      </c>
      <c r="I40" s="309">
        <f t="shared" si="8"/>
        <v>10000</v>
      </c>
      <c r="J40" s="309">
        <f t="shared" si="9"/>
        <v>110000</v>
      </c>
      <c r="K40" s="66" t="s">
        <v>70</v>
      </c>
      <c r="L40" s="289">
        <v>31</v>
      </c>
      <c r="M40" s="287">
        <v>31</v>
      </c>
      <c r="N40" s="316"/>
      <c r="O40" s="278">
        <v>43850</v>
      </c>
      <c r="P40" s="279">
        <v>43864</v>
      </c>
      <c r="Q40" s="278">
        <v>43881</v>
      </c>
      <c r="R40" s="279">
        <v>43894</v>
      </c>
      <c r="S40" s="278">
        <v>43910</v>
      </c>
      <c r="T40" s="279">
        <v>43923</v>
      </c>
      <c r="U40" s="278">
        <v>43942</v>
      </c>
      <c r="V40" s="279">
        <v>43957</v>
      </c>
      <c r="W40" s="278">
        <v>43971</v>
      </c>
      <c r="X40" s="279">
        <v>43985</v>
      </c>
      <c r="Y40" s="278">
        <v>44002</v>
      </c>
      <c r="Z40" s="279">
        <v>44014</v>
      </c>
      <c r="AA40" s="278">
        <v>44032</v>
      </c>
      <c r="AB40" s="279">
        <v>44046</v>
      </c>
      <c r="AC40" s="278">
        <v>44063</v>
      </c>
      <c r="AD40" s="279">
        <v>44076</v>
      </c>
      <c r="AE40" s="278">
        <v>44095</v>
      </c>
      <c r="AF40" s="279">
        <v>44111</v>
      </c>
      <c r="AG40" s="278">
        <v>44124</v>
      </c>
      <c r="AH40" s="279">
        <v>44138</v>
      </c>
      <c r="AI40" s="278">
        <v>44155</v>
      </c>
      <c r="AJ40" s="279">
        <v>44167</v>
      </c>
      <c r="AK40" s="278">
        <v>44185</v>
      </c>
      <c r="AL40" s="279">
        <v>44200</v>
      </c>
      <c r="AM40" s="66">
        <f t="shared" ref="AM40:AM62" si="12">IFERROR(
IF(M40="해지","제외",
IF(M40=25,DATE(AO$2,AO$3,DAY(M40)),
IF(M40=31,EOMONTH(DATE(AO$2,AO$3,29),0),
DATE(AO$2,AO$3+1,DAY(M40))))),"예외")</f>
        <v>44196</v>
      </c>
      <c r="AN40" s="269" t="str">
        <f t="shared" ref="AN40:AN62" si="13">IFERROR(CHOOSE(WEEKDAY(AM40,2),"월","화","수","목","금","토","일"),"")</f>
        <v>목</v>
      </c>
      <c r="AO40" s="327"/>
      <c r="AP40" s="327"/>
      <c r="AQ40" s="327"/>
      <c r="AR40" s="327"/>
      <c r="AS40" s="327"/>
      <c r="AT40" s="327"/>
      <c r="AW40" s="252"/>
      <c r="AX40" s="252"/>
    </row>
    <row r="41" spans="1:50" ht="22.5" customHeight="1" x14ac:dyDescent="0.3">
      <c r="A41" s="267">
        <v>38</v>
      </c>
      <c r="B41" s="319" t="s">
        <v>591</v>
      </c>
      <c r="C41" s="284">
        <v>2326500187</v>
      </c>
      <c r="D41" s="302">
        <v>23265001870</v>
      </c>
      <c r="E41" s="267"/>
      <c r="F41" s="66">
        <v>44075</v>
      </c>
      <c r="G41" s="66">
        <v>44438</v>
      </c>
      <c r="H41" s="268">
        <v>100000</v>
      </c>
      <c r="I41" s="309">
        <f t="shared" si="8"/>
        <v>10000</v>
      </c>
      <c r="J41" s="309">
        <f t="shared" si="9"/>
        <v>110000</v>
      </c>
      <c r="K41" s="66" t="s">
        <v>70</v>
      </c>
      <c r="L41" s="289">
        <v>31</v>
      </c>
      <c r="M41" s="287">
        <v>31</v>
      </c>
      <c r="N41" s="329"/>
      <c r="O41" s="272"/>
      <c r="P41" s="273"/>
      <c r="Q41" s="272" t="s">
        <v>574</v>
      </c>
      <c r="R41" s="273" t="s">
        <v>574</v>
      </c>
      <c r="S41" s="272" t="s">
        <v>574</v>
      </c>
      <c r="T41" s="273" t="s">
        <v>574</v>
      </c>
      <c r="U41" s="272" t="s">
        <v>574</v>
      </c>
      <c r="V41" s="273" t="s">
        <v>574</v>
      </c>
      <c r="W41" s="272" t="s">
        <v>574</v>
      </c>
      <c r="X41" s="273" t="s">
        <v>574</v>
      </c>
      <c r="Y41" s="272" t="s">
        <v>574</v>
      </c>
      <c r="Z41" s="273" t="s">
        <v>574</v>
      </c>
      <c r="AA41" s="272" t="s">
        <v>574</v>
      </c>
      <c r="AB41" s="273" t="s">
        <v>574</v>
      </c>
      <c r="AC41" s="272" t="s">
        <v>574</v>
      </c>
      <c r="AD41" s="273" t="s">
        <v>574</v>
      </c>
      <c r="AE41" s="278">
        <v>44095</v>
      </c>
      <c r="AF41" s="279">
        <v>44111</v>
      </c>
      <c r="AG41" s="278">
        <v>44124</v>
      </c>
      <c r="AH41" s="279">
        <v>44138</v>
      </c>
      <c r="AI41" s="278">
        <v>44155</v>
      </c>
      <c r="AJ41" s="279">
        <v>44167</v>
      </c>
      <c r="AK41" s="278">
        <v>44185</v>
      </c>
      <c r="AL41" s="279">
        <v>44200</v>
      </c>
      <c r="AM41" s="66">
        <f t="shared" si="12"/>
        <v>44196</v>
      </c>
      <c r="AN41" s="269" t="str">
        <f t="shared" si="13"/>
        <v>목</v>
      </c>
      <c r="AO41" s="327"/>
      <c r="AP41" s="327"/>
      <c r="AQ41" s="327"/>
      <c r="AR41" s="327"/>
      <c r="AS41" s="327"/>
      <c r="AT41" s="327"/>
      <c r="AW41" s="252"/>
      <c r="AX41" s="252"/>
    </row>
    <row r="42" spans="1:50" ht="22.5" customHeight="1" x14ac:dyDescent="0.3">
      <c r="A42" s="267">
        <v>39</v>
      </c>
      <c r="B42" s="319" t="s">
        <v>19</v>
      </c>
      <c r="C42" s="284">
        <v>2108164589</v>
      </c>
      <c r="D42" s="302">
        <v>21081645890</v>
      </c>
      <c r="E42" s="267"/>
      <c r="F42" s="66">
        <v>42675</v>
      </c>
      <c r="G42" s="66">
        <v>43404</v>
      </c>
      <c r="H42" s="268">
        <v>150000</v>
      </c>
      <c r="I42" s="309">
        <f t="shared" si="8"/>
        <v>15000</v>
      </c>
      <c r="J42" s="309">
        <f t="shared" si="9"/>
        <v>165000</v>
      </c>
      <c r="K42" s="66" t="s">
        <v>474</v>
      </c>
      <c r="L42" s="289">
        <v>31</v>
      </c>
      <c r="M42" s="287">
        <v>5</v>
      </c>
      <c r="N42" s="329"/>
      <c r="O42" s="278">
        <v>43850</v>
      </c>
      <c r="P42" s="279">
        <v>43861</v>
      </c>
      <c r="Q42" s="278">
        <v>43881</v>
      </c>
      <c r="R42" s="279">
        <v>43890</v>
      </c>
      <c r="S42" s="278">
        <v>43910</v>
      </c>
      <c r="T42" s="279">
        <v>43921</v>
      </c>
      <c r="U42" s="278">
        <v>43942</v>
      </c>
      <c r="V42" s="279">
        <v>43951</v>
      </c>
      <c r="W42" s="278">
        <v>43971</v>
      </c>
      <c r="X42" s="279">
        <v>43980</v>
      </c>
      <c r="Y42" s="278">
        <v>44002</v>
      </c>
      <c r="Z42" s="279">
        <v>44012</v>
      </c>
      <c r="AA42" s="278">
        <v>44032</v>
      </c>
      <c r="AB42" s="279">
        <v>44043</v>
      </c>
      <c r="AC42" s="278">
        <v>44063</v>
      </c>
      <c r="AD42" s="279">
        <v>44074</v>
      </c>
      <c r="AE42" s="278">
        <v>44095</v>
      </c>
      <c r="AF42" s="279">
        <v>44103</v>
      </c>
      <c r="AG42" s="278">
        <v>44124</v>
      </c>
      <c r="AH42" s="279">
        <v>44134</v>
      </c>
      <c r="AI42" s="278">
        <v>44155</v>
      </c>
      <c r="AJ42" s="279">
        <v>44165</v>
      </c>
      <c r="AK42" s="278">
        <v>44185</v>
      </c>
      <c r="AL42" s="279">
        <v>44196</v>
      </c>
      <c r="AM42" s="66">
        <f t="shared" si="12"/>
        <v>44201</v>
      </c>
      <c r="AN42" s="269" t="str">
        <f t="shared" si="13"/>
        <v>화</v>
      </c>
      <c r="AO42" s="327"/>
      <c r="AP42" s="327"/>
      <c r="AQ42" s="327"/>
      <c r="AR42" s="327"/>
      <c r="AS42" s="327"/>
      <c r="AT42" s="327"/>
      <c r="AW42" s="252"/>
      <c r="AX42" s="252"/>
    </row>
    <row r="43" spans="1:50" ht="22.5" customHeight="1" x14ac:dyDescent="0.3">
      <c r="A43" s="267">
        <v>40</v>
      </c>
      <c r="B43" s="319" t="s">
        <v>21</v>
      </c>
      <c r="C43" s="284">
        <v>2100776601</v>
      </c>
      <c r="D43" s="302">
        <v>21007766010</v>
      </c>
      <c r="E43" s="267"/>
      <c r="F43" s="66">
        <v>43160</v>
      </c>
      <c r="G43" s="66">
        <v>43524</v>
      </c>
      <c r="H43" s="268">
        <v>100000</v>
      </c>
      <c r="I43" s="309">
        <f t="shared" si="8"/>
        <v>10000</v>
      </c>
      <c r="J43" s="309">
        <f t="shared" si="9"/>
        <v>110000</v>
      </c>
      <c r="K43" s="66" t="s">
        <v>70</v>
      </c>
      <c r="L43" s="289">
        <v>31</v>
      </c>
      <c r="M43" s="287">
        <v>7</v>
      </c>
      <c r="N43" s="329"/>
      <c r="O43" s="278">
        <v>43850</v>
      </c>
      <c r="P43" s="279">
        <v>43864</v>
      </c>
      <c r="Q43" s="278">
        <v>43881</v>
      </c>
      <c r="R43" s="279">
        <v>43894</v>
      </c>
      <c r="S43" s="278">
        <v>43910</v>
      </c>
      <c r="T43" s="279">
        <v>43923</v>
      </c>
      <c r="U43" s="278">
        <v>43942</v>
      </c>
      <c r="V43" s="279">
        <v>43957</v>
      </c>
      <c r="W43" s="278">
        <v>43971</v>
      </c>
      <c r="X43" s="279">
        <v>43985</v>
      </c>
      <c r="Y43" s="278">
        <v>44002</v>
      </c>
      <c r="Z43" s="279">
        <v>44002</v>
      </c>
      <c r="AA43" s="278">
        <v>44032</v>
      </c>
      <c r="AB43" s="279">
        <v>44046</v>
      </c>
      <c r="AC43" s="278">
        <v>44063</v>
      </c>
      <c r="AD43" s="279">
        <v>44076</v>
      </c>
      <c r="AE43" s="278">
        <v>44095</v>
      </c>
      <c r="AF43" s="279">
        <v>44111</v>
      </c>
      <c r="AG43" s="278">
        <v>44124</v>
      </c>
      <c r="AH43" s="279">
        <v>44138</v>
      </c>
      <c r="AI43" s="278">
        <v>44155</v>
      </c>
      <c r="AJ43" s="279">
        <v>44167</v>
      </c>
      <c r="AK43" s="278">
        <v>44185</v>
      </c>
      <c r="AL43" s="279">
        <v>44200</v>
      </c>
      <c r="AM43" s="66">
        <f t="shared" si="12"/>
        <v>44203</v>
      </c>
      <c r="AN43" s="269" t="str">
        <f t="shared" si="13"/>
        <v>목</v>
      </c>
      <c r="AO43" s="327"/>
      <c r="AP43" s="327"/>
      <c r="AQ43" s="327"/>
      <c r="AR43" s="327"/>
      <c r="AS43" s="327"/>
      <c r="AT43" s="327"/>
      <c r="AW43" s="252"/>
      <c r="AX43" s="252"/>
    </row>
    <row r="44" spans="1:50" ht="22.5" customHeight="1" x14ac:dyDescent="0.3">
      <c r="A44" s="267">
        <v>41</v>
      </c>
      <c r="B44" s="319" t="s">
        <v>22</v>
      </c>
      <c r="C44" s="284">
        <v>6418700345</v>
      </c>
      <c r="D44" s="302">
        <v>64187003450</v>
      </c>
      <c r="E44" s="267"/>
      <c r="F44" s="66">
        <v>43160</v>
      </c>
      <c r="G44" s="66">
        <v>43524</v>
      </c>
      <c r="H44" s="268">
        <v>80000</v>
      </c>
      <c r="I44" s="309">
        <f t="shared" si="8"/>
        <v>8000</v>
      </c>
      <c r="J44" s="309">
        <f t="shared" si="9"/>
        <v>88000</v>
      </c>
      <c r="K44" s="66" t="s">
        <v>70</v>
      </c>
      <c r="L44" s="289">
        <v>31</v>
      </c>
      <c r="M44" s="287">
        <v>7</v>
      </c>
      <c r="N44" s="325"/>
      <c r="O44" s="278">
        <v>43850</v>
      </c>
      <c r="P44" s="279">
        <v>43864</v>
      </c>
      <c r="Q44" s="278">
        <v>43881</v>
      </c>
      <c r="R44" s="279">
        <v>43894</v>
      </c>
      <c r="S44" s="278">
        <v>43910</v>
      </c>
      <c r="T44" s="279">
        <v>43923</v>
      </c>
      <c r="U44" s="278">
        <v>43942</v>
      </c>
      <c r="V44" s="279">
        <v>43957</v>
      </c>
      <c r="W44" s="278">
        <v>43971</v>
      </c>
      <c r="X44" s="279">
        <v>43985</v>
      </c>
      <c r="Y44" s="278">
        <v>44014</v>
      </c>
      <c r="Z44" s="279">
        <v>44002</v>
      </c>
      <c r="AA44" s="278">
        <v>44032</v>
      </c>
      <c r="AB44" s="279">
        <v>44046</v>
      </c>
      <c r="AC44" s="278">
        <v>44063</v>
      </c>
      <c r="AD44" s="279">
        <v>44076</v>
      </c>
      <c r="AE44" s="278">
        <v>44095</v>
      </c>
      <c r="AF44" s="279">
        <v>44111</v>
      </c>
      <c r="AG44" s="278">
        <v>44124</v>
      </c>
      <c r="AH44" s="279">
        <v>44138</v>
      </c>
      <c r="AI44" s="278">
        <v>44155</v>
      </c>
      <c r="AJ44" s="279">
        <v>44167</v>
      </c>
      <c r="AK44" s="278">
        <v>44185</v>
      </c>
      <c r="AL44" s="279">
        <v>44200</v>
      </c>
      <c r="AM44" s="66">
        <f t="shared" si="12"/>
        <v>44203</v>
      </c>
      <c r="AN44" s="269" t="str">
        <f t="shared" si="13"/>
        <v>목</v>
      </c>
      <c r="AO44" s="327"/>
      <c r="AP44" s="327"/>
      <c r="AQ44" s="327"/>
      <c r="AR44" s="327"/>
      <c r="AS44" s="327"/>
      <c r="AT44" s="327"/>
      <c r="AW44" s="252"/>
      <c r="AX44" s="252"/>
    </row>
    <row r="45" spans="1:50" ht="22.5" customHeight="1" x14ac:dyDescent="0.3">
      <c r="A45" s="267">
        <v>43</v>
      </c>
      <c r="B45" s="319" t="s">
        <v>583</v>
      </c>
      <c r="C45" s="284">
        <v>1190895199</v>
      </c>
      <c r="D45" s="302">
        <v>11908951990</v>
      </c>
      <c r="E45" s="267"/>
      <c r="F45" s="66">
        <v>43586</v>
      </c>
      <c r="G45" s="66">
        <v>43951</v>
      </c>
      <c r="H45" s="268">
        <v>100000</v>
      </c>
      <c r="I45" s="309">
        <f t="shared" si="8"/>
        <v>10000</v>
      </c>
      <c r="J45" s="309">
        <f t="shared" si="9"/>
        <v>110000</v>
      </c>
      <c r="K45" s="66" t="s">
        <v>70</v>
      </c>
      <c r="L45" s="289">
        <v>31</v>
      </c>
      <c r="M45" s="287">
        <v>10</v>
      </c>
      <c r="N45" s="329"/>
      <c r="O45" s="272"/>
      <c r="P45" s="273"/>
      <c r="Q45" s="272" t="s">
        <v>574</v>
      </c>
      <c r="R45" s="273" t="s">
        <v>574</v>
      </c>
      <c r="S45" s="278">
        <v>43910</v>
      </c>
      <c r="T45" s="279">
        <v>43923</v>
      </c>
      <c r="U45" s="278">
        <v>43942</v>
      </c>
      <c r="V45" s="279">
        <v>43957</v>
      </c>
      <c r="W45" s="278">
        <v>43971</v>
      </c>
      <c r="X45" s="279">
        <v>43985</v>
      </c>
      <c r="Y45" s="278">
        <v>44002</v>
      </c>
      <c r="Z45" s="279">
        <v>44014</v>
      </c>
      <c r="AA45" s="278">
        <v>44032</v>
      </c>
      <c r="AB45" s="279">
        <v>44046</v>
      </c>
      <c r="AC45" s="278">
        <v>44063</v>
      </c>
      <c r="AD45" s="279">
        <v>44076</v>
      </c>
      <c r="AE45" s="278">
        <v>44095</v>
      </c>
      <c r="AF45" s="279">
        <v>44111</v>
      </c>
      <c r="AG45" s="278">
        <v>44124</v>
      </c>
      <c r="AH45" s="279">
        <v>44138</v>
      </c>
      <c r="AI45" s="278">
        <v>44155</v>
      </c>
      <c r="AJ45" s="279">
        <v>44167</v>
      </c>
      <c r="AK45" s="278">
        <v>44185</v>
      </c>
      <c r="AL45" s="279">
        <v>44200</v>
      </c>
      <c r="AM45" s="66">
        <f t="shared" si="12"/>
        <v>44206</v>
      </c>
      <c r="AN45" s="269" t="str">
        <f t="shared" si="13"/>
        <v>일</v>
      </c>
      <c r="AO45" s="327"/>
      <c r="AP45" s="327"/>
      <c r="AQ45" s="327"/>
      <c r="AR45" s="327"/>
      <c r="AS45" s="327"/>
      <c r="AT45" s="327"/>
      <c r="AW45" s="252"/>
      <c r="AX45" s="252"/>
    </row>
    <row r="46" spans="1:50" ht="22.5" customHeight="1" x14ac:dyDescent="0.3">
      <c r="A46" s="267">
        <v>44</v>
      </c>
      <c r="B46" s="319" t="s">
        <v>585</v>
      </c>
      <c r="C46" s="284">
        <v>4959201221</v>
      </c>
      <c r="D46" s="302">
        <v>49592012210</v>
      </c>
      <c r="E46" s="267"/>
      <c r="F46" s="66">
        <v>44105</v>
      </c>
      <c r="G46" s="291">
        <v>44469</v>
      </c>
      <c r="H46" s="268">
        <v>100000</v>
      </c>
      <c r="I46" s="309">
        <f t="shared" si="8"/>
        <v>10000</v>
      </c>
      <c r="J46" s="309">
        <f t="shared" si="9"/>
        <v>110000</v>
      </c>
      <c r="K46" s="66" t="s">
        <v>70</v>
      </c>
      <c r="L46" s="289">
        <v>31</v>
      </c>
      <c r="M46" s="287">
        <v>10</v>
      </c>
      <c r="N46" s="328" t="s">
        <v>592</v>
      </c>
      <c r="O46" s="272"/>
      <c r="P46" s="273"/>
      <c r="Q46" s="272" t="s">
        <v>574</v>
      </c>
      <c r="R46" s="273" t="s">
        <v>574</v>
      </c>
      <c r="S46" s="272" t="s">
        <v>574</v>
      </c>
      <c r="T46" s="273" t="s">
        <v>574</v>
      </c>
      <c r="U46" s="272" t="s">
        <v>574</v>
      </c>
      <c r="V46" s="273" t="s">
        <v>574</v>
      </c>
      <c r="W46" s="272" t="s">
        <v>574</v>
      </c>
      <c r="X46" s="273" t="s">
        <v>574</v>
      </c>
      <c r="Y46" s="272" t="s">
        <v>574</v>
      </c>
      <c r="Z46" s="273" t="s">
        <v>574</v>
      </c>
      <c r="AA46" s="272" t="s">
        <v>574</v>
      </c>
      <c r="AB46" s="273" t="s">
        <v>574</v>
      </c>
      <c r="AC46" s="272" t="s">
        <v>574</v>
      </c>
      <c r="AD46" s="273" t="s">
        <v>574</v>
      </c>
      <c r="AE46" s="272" t="s">
        <v>574</v>
      </c>
      <c r="AF46" s="273" t="s">
        <v>574</v>
      </c>
      <c r="AG46" s="278">
        <v>44124</v>
      </c>
      <c r="AH46" s="277">
        <v>44111</v>
      </c>
      <c r="AI46" s="278">
        <v>44155</v>
      </c>
      <c r="AJ46" s="279">
        <v>44138</v>
      </c>
      <c r="AK46" s="278">
        <v>44185</v>
      </c>
      <c r="AL46" s="279">
        <v>44200</v>
      </c>
      <c r="AM46" s="66">
        <f t="shared" si="12"/>
        <v>44206</v>
      </c>
      <c r="AN46" s="269" t="str">
        <f t="shared" si="13"/>
        <v>일</v>
      </c>
      <c r="AO46" s="327"/>
      <c r="AP46" s="327"/>
      <c r="AQ46" s="327"/>
      <c r="AR46" s="327"/>
      <c r="AS46" s="327"/>
      <c r="AT46" s="327"/>
      <c r="AW46" s="252"/>
      <c r="AX46" s="252"/>
    </row>
    <row r="47" spans="1:50" ht="22.5" customHeight="1" x14ac:dyDescent="0.3">
      <c r="A47" s="327">
        <f>A46+1</f>
        <v>45</v>
      </c>
      <c r="B47" s="321" t="s">
        <v>600</v>
      </c>
      <c r="C47" s="323">
        <v>4198601283</v>
      </c>
      <c r="D47" s="302">
        <v>41986012830</v>
      </c>
      <c r="E47" s="327"/>
      <c r="F47" s="66">
        <v>44166</v>
      </c>
      <c r="G47" s="66">
        <v>44530</v>
      </c>
      <c r="H47" s="329">
        <v>100000</v>
      </c>
      <c r="I47" s="329">
        <f t="shared" si="8"/>
        <v>10000</v>
      </c>
      <c r="J47" s="329">
        <f t="shared" si="9"/>
        <v>110000</v>
      </c>
      <c r="K47" s="66" t="s">
        <v>70</v>
      </c>
      <c r="L47" s="289">
        <v>31</v>
      </c>
      <c r="M47" s="287">
        <v>10</v>
      </c>
      <c r="N47" s="329"/>
      <c r="O47" s="272" t="s">
        <v>574</v>
      </c>
      <c r="P47" s="273" t="s">
        <v>574</v>
      </c>
      <c r="Q47" s="272" t="s">
        <v>574</v>
      </c>
      <c r="R47" s="273" t="s">
        <v>574</v>
      </c>
      <c r="S47" s="272" t="s">
        <v>574</v>
      </c>
      <c r="T47" s="273" t="s">
        <v>574</v>
      </c>
      <c r="U47" s="272"/>
      <c r="V47" s="273"/>
      <c r="W47" s="272" t="s">
        <v>574</v>
      </c>
      <c r="X47" s="273" t="s">
        <v>574</v>
      </c>
      <c r="Y47" s="272" t="s">
        <v>574</v>
      </c>
      <c r="Z47" s="273" t="s">
        <v>574</v>
      </c>
      <c r="AA47" s="272" t="s">
        <v>574</v>
      </c>
      <c r="AB47" s="273" t="s">
        <v>574</v>
      </c>
      <c r="AC47" s="272"/>
      <c r="AD47" s="273"/>
      <c r="AE47" s="272" t="s">
        <v>574</v>
      </c>
      <c r="AF47" s="273" t="s">
        <v>574</v>
      </c>
      <c r="AG47" s="272" t="s">
        <v>574</v>
      </c>
      <c r="AH47" s="273" t="s">
        <v>574</v>
      </c>
      <c r="AI47" s="272"/>
      <c r="AJ47" s="273"/>
      <c r="AK47" s="278">
        <v>44185</v>
      </c>
      <c r="AL47" s="279">
        <v>44200</v>
      </c>
      <c r="AM47" s="66">
        <f t="shared" si="12"/>
        <v>44206</v>
      </c>
      <c r="AN47" s="269" t="str">
        <f t="shared" si="13"/>
        <v>일</v>
      </c>
      <c r="AO47" s="121"/>
      <c r="AP47" s="121"/>
      <c r="AQ47" s="121"/>
      <c r="AR47" s="121"/>
      <c r="AS47" s="121"/>
      <c r="AT47" s="121"/>
      <c r="AW47" s="252"/>
      <c r="AX47" s="252"/>
    </row>
    <row r="48" spans="1:50" ht="22.5" customHeight="1" x14ac:dyDescent="0.3">
      <c r="A48" s="267">
        <v>45</v>
      </c>
      <c r="B48" s="319" t="s">
        <v>33</v>
      </c>
      <c r="C48" s="284">
        <v>1278184338</v>
      </c>
      <c r="D48" s="302">
        <v>12781843380</v>
      </c>
      <c r="E48" s="267"/>
      <c r="F48" s="66">
        <v>43132</v>
      </c>
      <c r="G48" s="66">
        <v>43312</v>
      </c>
      <c r="H48" s="268">
        <v>300000</v>
      </c>
      <c r="I48" s="309">
        <f t="shared" si="8"/>
        <v>30000</v>
      </c>
      <c r="J48" s="309">
        <f t="shared" si="9"/>
        <v>330000</v>
      </c>
      <c r="K48" s="66" t="s">
        <v>70</v>
      </c>
      <c r="L48" s="289">
        <v>31</v>
      </c>
      <c r="M48" s="287">
        <v>11</v>
      </c>
      <c r="N48" s="268"/>
      <c r="O48" s="278">
        <v>43850</v>
      </c>
      <c r="P48" s="279">
        <v>43864</v>
      </c>
      <c r="Q48" s="278">
        <v>43881</v>
      </c>
      <c r="R48" s="279">
        <v>43894</v>
      </c>
      <c r="S48" s="278">
        <v>43910</v>
      </c>
      <c r="T48" s="279">
        <v>43923</v>
      </c>
      <c r="U48" s="278">
        <v>43942</v>
      </c>
      <c r="V48" s="279">
        <v>43957</v>
      </c>
      <c r="W48" s="278">
        <v>43971</v>
      </c>
      <c r="X48" s="279">
        <v>43985</v>
      </c>
      <c r="Y48" s="278">
        <v>44002</v>
      </c>
      <c r="Z48" s="279">
        <v>44014</v>
      </c>
      <c r="AA48" s="278">
        <v>44032</v>
      </c>
      <c r="AB48" s="279">
        <v>44046</v>
      </c>
      <c r="AC48" s="278">
        <v>44063</v>
      </c>
      <c r="AD48" s="279">
        <v>44076</v>
      </c>
      <c r="AE48" s="278">
        <v>44095</v>
      </c>
      <c r="AF48" s="279">
        <v>44111</v>
      </c>
      <c r="AG48" s="278">
        <v>44124</v>
      </c>
      <c r="AH48" s="279">
        <v>44138</v>
      </c>
      <c r="AI48" s="278">
        <v>44155</v>
      </c>
      <c r="AJ48" s="279">
        <v>44167</v>
      </c>
      <c r="AK48" s="278">
        <v>44185</v>
      </c>
      <c r="AL48" s="279">
        <v>44200</v>
      </c>
      <c r="AM48" s="66">
        <f t="shared" si="12"/>
        <v>44207</v>
      </c>
      <c r="AN48" s="269" t="str">
        <f t="shared" si="13"/>
        <v>월</v>
      </c>
      <c r="AO48" s="267"/>
      <c r="AP48" s="267"/>
      <c r="AQ48" s="267"/>
      <c r="AR48" s="267"/>
      <c r="AS48" s="267"/>
      <c r="AT48" s="267"/>
      <c r="AW48" s="252"/>
      <c r="AX48" s="252"/>
    </row>
    <row r="49" spans="1:50" ht="22.5" customHeight="1" x14ac:dyDescent="0.3">
      <c r="A49" s="267">
        <v>29</v>
      </c>
      <c r="B49" s="319" t="s">
        <v>10</v>
      </c>
      <c r="C49" s="284">
        <v>7949900526</v>
      </c>
      <c r="D49" s="302">
        <v>79499005260</v>
      </c>
      <c r="E49" s="267"/>
      <c r="F49" s="66">
        <v>42644</v>
      </c>
      <c r="G49" s="66">
        <v>43100</v>
      </c>
      <c r="H49" s="268">
        <v>120000</v>
      </c>
      <c r="I49" s="309">
        <f t="shared" si="8"/>
        <v>12000</v>
      </c>
      <c r="J49" s="309">
        <f t="shared" si="9"/>
        <v>132000</v>
      </c>
      <c r="K49" s="66" t="s">
        <v>474</v>
      </c>
      <c r="L49" s="289">
        <v>25</v>
      </c>
      <c r="M49" s="290" t="s">
        <v>465</v>
      </c>
      <c r="N49" s="268"/>
      <c r="O49" s="278">
        <v>43850</v>
      </c>
      <c r="P49" s="279">
        <v>43861</v>
      </c>
      <c r="Q49" s="278">
        <v>43881</v>
      </c>
      <c r="R49" s="279">
        <v>43889</v>
      </c>
      <c r="S49" s="278">
        <v>43910</v>
      </c>
      <c r="T49" s="279">
        <v>43921</v>
      </c>
      <c r="U49" s="278">
        <v>43942</v>
      </c>
      <c r="V49" s="279">
        <v>43949</v>
      </c>
      <c r="W49" s="278">
        <v>43971</v>
      </c>
      <c r="X49" s="279">
        <v>43980</v>
      </c>
      <c r="Y49" s="278">
        <v>44002</v>
      </c>
      <c r="Z49" s="279">
        <v>44012</v>
      </c>
      <c r="AA49" s="278">
        <v>44032</v>
      </c>
      <c r="AB49" s="279">
        <v>44043</v>
      </c>
      <c r="AC49" s="278">
        <v>44063</v>
      </c>
      <c r="AD49" s="279">
        <v>44074</v>
      </c>
      <c r="AE49" s="278">
        <v>44095</v>
      </c>
      <c r="AF49" s="279">
        <v>44103</v>
      </c>
      <c r="AG49" s="278">
        <v>44124</v>
      </c>
      <c r="AH49" s="279">
        <v>44134</v>
      </c>
      <c r="AI49" s="278">
        <v>44155</v>
      </c>
      <c r="AJ49" s="279">
        <v>44165</v>
      </c>
      <c r="AK49" s="278">
        <v>44185</v>
      </c>
      <c r="AL49" s="279">
        <v>44196</v>
      </c>
      <c r="AM49" s="66" t="str">
        <f t="shared" si="12"/>
        <v>예외</v>
      </c>
      <c r="AN49" s="269" t="str">
        <f t="shared" si="13"/>
        <v/>
      </c>
      <c r="AO49" s="267"/>
      <c r="AP49" s="267"/>
      <c r="AQ49" s="267"/>
      <c r="AR49" s="267"/>
      <c r="AS49" s="267"/>
      <c r="AT49" s="267"/>
      <c r="AW49" s="252"/>
      <c r="AX49" s="252"/>
    </row>
    <row r="50" spans="1:50" ht="22.5" customHeight="1" x14ac:dyDescent="0.3">
      <c r="A50" s="267">
        <v>30</v>
      </c>
      <c r="B50" s="319" t="s">
        <v>8</v>
      </c>
      <c r="C50" s="284">
        <v>2208734406</v>
      </c>
      <c r="D50" s="302">
        <v>22087344060</v>
      </c>
      <c r="E50" s="267"/>
      <c r="F50" s="66">
        <v>43193</v>
      </c>
      <c r="G50" s="66">
        <v>43557</v>
      </c>
      <c r="H50" s="268">
        <v>220000</v>
      </c>
      <c r="I50" s="309">
        <f t="shared" si="8"/>
        <v>22000</v>
      </c>
      <c r="J50" s="309">
        <f t="shared" si="9"/>
        <v>242000</v>
      </c>
      <c r="K50" s="66" t="s">
        <v>474</v>
      </c>
      <c r="L50" s="289">
        <v>25</v>
      </c>
      <c r="M50" s="290" t="s">
        <v>465</v>
      </c>
      <c r="N50" s="328"/>
      <c r="O50" s="278">
        <v>43850</v>
      </c>
      <c r="P50" s="279">
        <v>43853</v>
      </c>
      <c r="Q50" s="278">
        <v>43881</v>
      </c>
      <c r="R50" s="279">
        <v>43886</v>
      </c>
      <c r="S50" s="278">
        <v>43910</v>
      </c>
      <c r="T50" s="279">
        <v>43915</v>
      </c>
      <c r="U50" s="278">
        <v>43942</v>
      </c>
      <c r="V50" s="279">
        <v>43945</v>
      </c>
      <c r="W50" s="278">
        <v>43971</v>
      </c>
      <c r="X50" s="279">
        <v>43976</v>
      </c>
      <c r="Y50" s="278">
        <v>44002</v>
      </c>
      <c r="Z50" s="279">
        <v>44007</v>
      </c>
      <c r="AA50" s="278">
        <v>44032</v>
      </c>
      <c r="AB50" s="279">
        <v>44036</v>
      </c>
      <c r="AC50" s="278">
        <v>44063</v>
      </c>
      <c r="AD50" s="279">
        <v>44071</v>
      </c>
      <c r="AE50" s="278">
        <v>44095</v>
      </c>
      <c r="AF50" s="279">
        <v>44099</v>
      </c>
      <c r="AG50" s="278">
        <v>44124</v>
      </c>
      <c r="AH50" s="279">
        <v>44127</v>
      </c>
      <c r="AI50" s="278">
        <v>44155</v>
      </c>
      <c r="AJ50" s="279">
        <v>44160</v>
      </c>
      <c r="AK50" s="278">
        <v>44185</v>
      </c>
      <c r="AL50" s="279">
        <v>44189</v>
      </c>
      <c r="AM50" s="66" t="str">
        <f t="shared" si="12"/>
        <v>예외</v>
      </c>
      <c r="AN50" s="269" t="str">
        <f t="shared" si="13"/>
        <v/>
      </c>
      <c r="AO50" s="267"/>
      <c r="AP50" s="267"/>
      <c r="AQ50" s="267"/>
      <c r="AR50" s="267"/>
      <c r="AS50" s="267"/>
      <c r="AT50" s="267"/>
      <c r="AW50" s="252"/>
      <c r="AX50" s="252"/>
    </row>
    <row r="51" spans="1:50" ht="22.5" customHeight="1" x14ac:dyDescent="0.3">
      <c r="A51" s="267">
        <v>32</v>
      </c>
      <c r="B51" s="319" t="s">
        <v>479</v>
      </c>
      <c r="C51" s="284">
        <v>2068173551</v>
      </c>
      <c r="D51" s="302">
        <v>20681735510</v>
      </c>
      <c r="E51" s="317"/>
      <c r="F51" s="66">
        <v>43678</v>
      </c>
      <c r="G51" s="66">
        <v>44043</v>
      </c>
      <c r="H51" s="318">
        <v>70000</v>
      </c>
      <c r="I51" s="318">
        <f t="shared" si="8"/>
        <v>7000</v>
      </c>
      <c r="J51" s="318">
        <f t="shared" si="9"/>
        <v>77000</v>
      </c>
      <c r="K51" s="66" t="s">
        <v>70</v>
      </c>
      <c r="L51" s="289">
        <v>30</v>
      </c>
      <c r="M51" s="290" t="s">
        <v>465</v>
      </c>
      <c r="N51" s="328"/>
      <c r="O51" s="278">
        <v>43850</v>
      </c>
      <c r="P51" s="279">
        <v>43864</v>
      </c>
      <c r="Q51" s="278">
        <v>43881</v>
      </c>
      <c r="R51" s="279">
        <v>43894</v>
      </c>
      <c r="S51" s="278">
        <v>43910</v>
      </c>
      <c r="T51" s="279">
        <v>43929</v>
      </c>
      <c r="U51" s="278">
        <v>43942</v>
      </c>
      <c r="V51" s="279">
        <v>43957</v>
      </c>
      <c r="W51" s="278">
        <v>43971</v>
      </c>
      <c r="X51" s="279">
        <v>43985</v>
      </c>
      <c r="Y51" s="278">
        <v>44002</v>
      </c>
      <c r="Z51" s="279">
        <v>44014</v>
      </c>
      <c r="AA51" s="278">
        <v>44032</v>
      </c>
      <c r="AB51" s="279">
        <v>44046</v>
      </c>
      <c r="AC51" s="278">
        <v>44063</v>
      </c>
      <c r="AD51" s="279">
        <v>44076</v>
      </c>
      <c r="AE51" s="278">
        <v>44095</v>
      </c>
      <c r="AF51" s="279">
        <v>44111</v>
      </c>
      <c r="AG51" s="278">
        <v>44124</v>
      </c>
      <c r="AH51" s="279">
        <v>44137</v>
      </c>
      <c r="AI51" s="278">
        <v>44155</v>
      </c>
      <c r="AJ51" s="279">
        <v>44167</v>
      </c>
      <c r="AK51" s="278">
        <v>44185</v>
      </c>
      <c r="AL51" s="279">
        <v>44200</v>
      </c>
      <c r="AM51" s="66" t="str">
        <f t="shared" si="12"/>
        <v>예외</v>
      </c>
      <c r="AN51" s="269" t="str">
        <f t="shared" si="13"/>
        <v/>
      </c>
      <c r="AO51" s="267"/>
      <c r="AP51" s="267"/>
      <c r="AQ51" s="267"/>
      <c r="AR51" s="267"/>
      <c r="AS51" s="267"/>
      <c r="AT51" s="267"/>
      <c r="AW51" s="252"/>
      <c r="AX51" s="252"/>
    </row>
    <row r="52" spans="1:50" ht="22.5" customHeight="1" x14ac:dyDescent="0.3">
      <c r="A52" s="267">
        <v>33</v>
      </c>
      <c r="B52" s="319" t="s">
        <v>579</v>
      </c>
      <c r="C52" s="284">
        <v>2178117729</v>
      </c>
      <c r="D52" s="302">
        <v>21781177290</v>
      </c>
      <c r="E52" s="267"/>
      <c r="F52" s="66">
        <v>44013</v>
      </c>
      <c r="G52" s="66">
        <v>44408</v>
      </c>
      <c r="H52" s="268">
        <v>70000</v>
      </c>
      <c r="I52" s="309">
        <f t="shared" si="8"/>
        <v>7000</v>
      </c>
      <c r="J52" s="309">
        <f t="shared" si="9"/>
        <v>77000</v>
      </c>
      <c r="K52" s="66" t="s">
        <v>70</v>
      </c>
      <c r="L52" s="289">
        <v>30</v>
      </c>
      <c r="M52" s="290" t="s">
        <v>465</v>
      </c>
      <c r="N52" s="328"/>
      <c r="O52" s="272"/>
      <c r="P52" s="273"/>
      <c r="Q52" s="272"/>
      <c r="R52" s="273"/>
      <c r="S52" s="272"/>
      <c r="T52" s="273"/>
      <c r="U52" s="272"/>
      <c r="V52" s="273"/>
      <c r="W52" s="272"/>
      <c r="X52" s="273"/>
      <c r="Y52" s="272" t="s">
        <v>574</v>
      </c>
      <c r="Z52" s="273" t="s">
        <v>574</v>
      </c>
      <c r="AA52" s="278">
        <v>44032</v>
      </c>
      <c r="AB52" s="279">
        <v>44046</v>
      </c>
      <c r="AC52" s="278">
        <v>44063</v>
      </c>
      <c r="AD52" s="279">
        <v>44076</v>
      </c>
      <c r="AE52" s="278">
        <v>44095</v>
      </c>
      <c r="AF52" s="279">
        <v>44111</v>
      </c>
      <c r="AG52" s="278">
        <v>44124</v>
      </c>
      <c r="AH52" s="279">
        <v>44137</v>
      </c>
      <c r="AI52" s="278">
        <v>44155</v>
      </c>
      <c r="AJ52" s="279">
        <v>44167</v>
      </c>
      <c r="AK52" s="278">
        <v>44185</v>
      </c>
      <c r="AL52" s="279">
        <v>44200</v>
      </c>
      <c r="AM52" s="66" t="str">
        <f t="shared" si="12"/>
        <v>예외</v>
      </c>
      <c r="AN52" s="269" t="str">
        <f t="shared" si="13"/>
        <v/>
      </c>
      <c r="AO52" s="267"/>
      <c r="AP52" s="267"/>
      <c r="AQ52" s="267"/>
      <c r="AR52" s="267"/>
      <c r="AS52" s="267"/>
      <c r="AT52" s="267"/>
      <c r="AW52" s="252"/>
      <c r="AX52" s="252"/>
    </row>
    <row r="53" spans="1:50" ht="22.5" customHeight="1" x14ac:dyDescent="0.3">
      <c r="A53" s="267">
        <v>46</v>
      </c>
      <c r="B53" s="319" t="s">
        <v>580</v>
      </c>
      <c r="C53" s="284">
        <v>2048188820</v>
      </c>
      <c r="D53" s="302">
        <v>20481888200</v>
      </c>
      <c r="E53" s="267"/>
      <c r="F53" s="66">
        <v>43983</v>
      </c>
      <c r="G53" s="66">
        <v>44347</v>
      </c>
      <c r="H53" s="268">
        <v>250000</v>
      </c>
      <c r="I53" s="309">
        <f t="shared" si="8"/>
        <v>25000</v>
      </c>
      <c r="J53" s="309">
        <f t="shared" si="9"/>
        <v>275000</v>
      </c>
      <c r="K53" s="66" t="s">
        <v>70</v>
      </c>
      <c r="L53" s="289">
        <v>30</v>
      </c>
      <c r="M53" s="290" t="s">
        <v>465</v>
      </c>
      <c r="N53" s="328"/>
      <c r="O53" s="272"/>
      <c r="P53" s="273"/>
      <c r="Q53" s="272"/>
      <c r="R53" s="273"/>
      <c r="S53" s="272"/>
      <c r="T53" s="273"/>
      <c r="U53" s="272"/>
      <c r="V53" s="273"/>
      <c r="W53" s="272"/>
      <c r="X53" s="273"/>
      <c r="Y53" s="278">
        <v>44002</v>
      </c>
      <c r="Z53" s="279">
        <v>44014</v>
      </c>
      <c r="AA53" s="278">
        <v>44032</v>
      </c>
      <c r="AB53" s="279">
        <v>44046</v>
      </c>
      <c r="AC53" s="278">
        <v>44063</v>
      </c>
      <c r="AD53" s="279">
        <v>44076</v>
      </c>
      <c r="AE53" s="278">
        <v>44095</v>
      </c>
      <c r="AF53" s="279">
        <v>44111</v>
      </c>
      <c r="AG53" s="278">
        <v>44124</v>
      </c>
      <c r="AH53" s="279">
        <v>44137</v>
      </c>
      <c r="AI53" s="278">
        <v>44155</v>
      </c>
      <c r="AJ53" s="279">
        <v>44167</v>
      </c>
      <c r="AK53" s="278">
        <v>44185</v>
      </c>
      <c r="AL53" s="279">
        <v>44200</v>
      </c>
      <c r="AM53" s="66" t="str">
        <f t="shared" si="12"/>
        <v>예외</v>
      </c>
      <c r="AN53" s="269" t="str">
        <f t="shared" si="13"/>
        <v/>
      </c>
      <c r="AO53" s="267"/>
      <c r="AP53" s="267"/>
      <c r="AQ53" s="267"/>
      <c r="AR53" s="267"/>
      <c r="AS53" s="267"/>
      <c r="AT53" s="267"/>
      <c r="AW53" s="252"/>
      <c r="AX53" s="252"/>
    </row>
    <row r="54" spans="1:50" ht="22.5" customHeight="1" x14ac:dyDescent="0.3">
      <c r="A54" s="267">
        <v>47</v>
      </c>
      <c r="B54" s="319" t="s">
        <v>30</v>
      </c>
      <c r="C54" s="284">
        <v>1130968390</v>
      </c>
      <c r="D54" s="302">
        <v>11309683900</v>
      </c>
      <c r="E54" s="267"/>
      <c r="F54" s="66">
        <v>43180</v>
      </c>
      <c r="G54" s="66">
        <v>43544</v>
      </c>
      <c r="H54" s="268">
        <v>100000</v>
      </c>
      <c r="I54" s="309">
        <f t="shared" si="8"/>
        <v>10000</v>
      </c>
      <c r="J54" s="309">
        <f t="shared" si="9"/>
        <v>110000</v>
      </c>
      <c r="K54" s="66" t="s">
        <v>70</v>
      </c>
      <c r="L54" s="289">
        <v>31</v>
      </c>
      <c r="M54" s="290" t="s">
        <v>465</v>
      </c>
      <c r="N54" s="328"/>
      <c r="O54" s="278">
        <v>43850</v>
      </c>
      <c r="P54" s="279">
        <v>43864</v>
      </c>
      <c r="Q54" s="278">
        <v>43881</v>
      </c>
      <c r="R54" s="279">
        <v>43894</v>
      </c>
      <c r="S54" s="278">
        <v>43910</v>
      </c>
      <c r="T54" s="279">
        <v>43923</v>
      </c>
      <c r="U54" s="278">
        <v>43942</v>
      </c>
      <c r="V54" s="279">
        <v>43957</v>
      </c>
      <c r="W54" s="278">
        <v>43971</v>
      </c>
      <c r="X54" s="279">
        <v>43985</v>
      </c>
      <c r="Y54" s="278">
        <v>44002</v>
      </c>
      <c r="Z54" s="279">
        <v>44014</v>
      </c>
      <c r="AA54" s="278">
        <v>44032</v>
      </c>
      <c r="AB54" s="279">
        <v>44046</v>
      </c>
      <c r="AC54" s="278">
        <v>44063</v>
      </c>
      <c r="AD54" s="279">
        <v>44083</v>
      </c>
      <c r="AE54" s="278">
        <v>44095</v>
      </c>
      <c r="AF54" s="279">
        <v>44111</v>
      </c>
      <c r="AG54" s="278">
        <v>44124</v>
      </c>
      <c r="AH54" s="279">
        <v>44138</v>
      </c>
      <c r="AI54" s="278">
        <v>44155</v>
      </c>
      <c r="AJ54" s="279">
        <v>44167</v>
      </c>
      <c r="AK54" s="278">
        <v>44185</v>
      </c>
      <c r="AL54" s="279">
        <v>44200</v>
      </c>
      <c r="AM54" s="66" t="str">
        <f t="shared" si="12"/>
        <v>예외</v>
      </c>
      <c r="AN54" s="269" t="str">
        <f t="shared" si="13"/>
        <v/>
      </c>
      <c r="AO54" s="327"/>
      <c r="AP54" s="327"/>
      <c r="AQ54" s="327"/>
      <c r="AR54" s="327"/>
      <c r="AS54" s="327"/>
      <c r="AT54" s="327"/>
      <c r="AW54" s="252"/>
      <c r="AX54" s="252"/>
    </row>
    <row r="55" spans="1:50" ht="22.5" customHeight="1" x14ac:dyDescent="0.3">
      <c r="A55" s="267">
        <v>27</v>
      </c>
      <c r="B55" s="320" t="s">
        <v>601</v>
      </c>
      <c r="C55" s="293">
        <v>2170571205</v>
      </c>
      <c r="D55" s="326">
        <v>91101294751</v>
      </c>
      <c r="E55" s="295" t="s">
        <v>444</v>
      </c>
      <c r="F55" s="292"/>
      <c r="G55" s="292"/>
      <c r="H55" s="292"/>
      <c r="I55" s="292"/>
      <c r="J55" s="292"/>
      <c r="K55" s="292"/>
      <c r="L55" s="296"/>
      <c r="M55" s="297" t="s">
        <v>444</v>
      </c>
      <c r="N55" s="298"/>
      <c r="O55" s="278">
        <v>43850</v>
      </c>
      <c r="P55" s="279">
        <v>43860</v>
      </c>
      <c r="Q55" s="278">
        <v>43881</v>
      </c>
      <c r="R55" s="279">
        <v>43888</v>
      </c>
      <c r="S55" s="278">
        <v>43910</v>
      </c>
      <c r="T55" s="279">
        <v>43917</v>
      </c>
      <c r="U55" s="278">
        <v>43942</v>
      </c>
      <c r="V55" s="279">
        <v>43950</v>
      </c>
      <c r="W55" s="278">
        <v>43971</v>
      </c>
      <c r="X55" s="279">
        <v>43978</v>
      </c>
      <c r="Y55" s="278">
        <v>44002</v>
      </c>
      <c r="Z55" s="279">
        <v>44021</v>
      </c>
      <c r="AA55" s="278">
        <v>44032</v>
      </c>
      <c r="AB55" s="279">
        <v>44041</v>
      </c>
      <c r="AC55" s="278">
        <v>44063</v>
      </c>
      <c r="AD55" s="279">
        <v>44070</v>
      </c>
      <c r="AE55" s="278">
        <v>44095</v>
      </c>
      <c r="AF55" s="279">
        <v>44102</v>
      </c>
      <c r="AG55" s="278">
        <v>44124</v>
      </c>
      <c r="AH55" s="279">
        <v>44132</v>
      </c>
      <c r="AI55" s="278">
        <v>44155</v>
      </c>
      <c r="AJ55" s="279">
        <v>44162</v>
      </c>
      <c r="AK55" s="272" t="s">
        <v>574</v>
      </c>
      <c r="AL55" s="273" t="s">
        <v>574</v>
      </c>
      <c r="AM55" s="66" t="str">
        <f t="shared" si="12"/>
        <v>제외</v>
      </c>
      <c r="AN55" s="269" t="str">
        <f t="shared" si="13"/>
        <v/>
      </c>
      <c r="AO55" s="324"/>
      <c r="AP55" s="324"/>
      <c r="AQ55" s="324"/>
      <c r="AR55" s="324"/>
      <c r="AS55" s="324"/>
      <c r="AT55" s="324"/>
      <c r="AW55" s="252"/>
      <c r="AX55" s="252"/>
    </row>
    <row r="56" spans="1:50" ht="22.5" customHeight="1" x14ac:dyDescent="0.3">
      <c r="A56" s="267">
        <v>42</v>
      </c>
      <c r="B56" s="320" t="s">
        <v>582</v>
      </c>
      <c r="C56" s="293">
        <v>5984500565</v>
      </c>
      <c r="D56" s="294">
        <v>59845005650</v>
      </c>
      <c r="E56" s="295" t="s">
        <v>444</v>
      </c>
      <c r="F56" s="292"/>
      <c r="G56" s="292"/>
      <c r="H56" s="292"/>
      <c r="I56" s="292"/>
      <c r="J56" s="292"/>
      <c r="K56" s="292"/>
      <c r="L56" s="296"/>
      <c r="M56" s="297" t="s">
        <v>444</v>
      </c>
      <c r="N56" s="298"/>
      <c r="O56" s="272"/>
      <c r="P56" s="273"/>
      <c r="Q56" s="272" t="s">
        <v>574</v>
      </c>
      <c r="R56" s="273" t="s">
        <v>574</v>
      </c>
      <c r="S56" s="278">
        <v>43910</v>
      </c>
      <c r="T56" s="279">
        <v>43923</v>
      </c>
      <c r="U56" s="278">
        <v>43942</v>
      </c>
      <c r="V56" s="279">
        <v>43957</v>
      </c>
      <c r="W56" s="278">
        <v>43971</v>
      </c>
      <c r="X56" s="279">
        <v>43985</v>
      </c>
      <c r="Y56" s="278">
        <v>44002</v>
      </c>
      <c r="Z56" s="279">
        <v>44014</v>
      </c>
      <c r="AA56" s="278">
        <v>44032</v>
      </c>
      <c r="AB56" s="279">
        <v>44046</v>
      </c>
      <c r="AC56" s="278">
        <v>44063</v>
      </c>
      <c r="AD56" s="279">
        <v>44076</v>
      </c>
      <c r="AE56" s="278">
        <v>44095</v>
      </c>
      <c r="AF56" s="279">
        <v>44111</v>
      </c>
      <c r="AG56" s="278">
        <v>44124</v>
      </c>
      <c r="AH56" s="279">
        <v>44138</v>
      </c>
      <c r="AI56" s="278">
        <v>44155</v>
      </c>
      <c r="AJ56" s="279">
        <v>44167</v>
      </c>
      <c r="AK56" s="272" t="s">
        <v>574</v>
      </c>
      <c r="AL56" s="273" t="s">
        <v>574</v>
      </c>
      <c r="AM56" s="66" t="str">
        <f t="shared" si="12"/>
        <v>제외</v>
      </c>
      <c r="AN56" s="269" t="str">
        <f t="shared" si="13"/>
        <v/>
      </c>
      <c r="AO56" s="317"/>
      <c r="AP56" s="317"/>
      <c r="AQ56" s="317"/>
      <c r="AR56" s="317"/>
      <c r="AS56" s="317"/>
      <c r="AT56" s="317"/>
      <c r="AW56" s="252"/>
      <c r="AX56" s="252"/>
    </row>
    <row r="57" spans="1:50" ht="22.5" customHeight="1" x14ac:dyDescent="0.3">
      <c r="A57" s="267">
        <v>48</v>
      </c>
      <c r="B57" s="320" t="s">
        <v>11</v>
      </c>
      <c r="C57" s="293">
        <v>2238266222</v>
      </c>
      <c r="D57" s="294">
        <v>22382662220</v>
      </c>
      <c r="E57" s="295" t="s">
        <v>444</v>
      </c>
      <c r="F57" s="292"/>
      <c r="G57" s="292"/>
      <c r="H57" s="292"/>
      <c r="I57" s="292"/>
      <c r="J57" s="292"/>
      <c r="K57" s="292"/>
      <c r="L57" s="296"/>
      <c r="M57" s="297" t="s">
        <v>444</v>
      </c>
      <c r="N57" s="298"/>
      <c r="O57" s="270">
        <v>43832</v>
      </c>
      <c r="P57" s="271">
        <v>43832</v>
      </c>
      <c r="Q57" s="270">
        <v>43860</v>
      </c>
      <c r="R57" s="271">
        <v>43864</v>
      </c>
      <c r="S57" s="270">
        <v>43890</v>
      </c>
      <c r="T57" s="271">
        <v>43892</v>
      </c>
      <c r="U57" s="270">
        <v>43921</v>
      </c>
      <c r="V57" s="271">
        <v>43922</v>
      </c>
      <c r="W57" s="270">
        <v>43950</v>
      </c>
      <c r="X57" s="271">
        <v>43956</v>
      </c>
      <c r="Y57" s="270">
        <v>43980</v>
      </c>
      <c r="Z57" s="271">
        <v>43982</v>
      </c>
      <c r="AA57" s="270">
        <v>44012</v>
      </c>
      <c r="AB57" s="271">
        <v>44013</v>
      </c>
      <c r="AC57" s="270">
        <v>44043</v>
      </c>
      <c r="AD57" s="271">
        <v>44043</v>
      </c>
      <c r="AE57" s="272" t="s">
        <v>574</v>
      </c>
      <c r="AF57" s="273" t="s">
        <v>574</v>
      </c>
      <c r="AG57" s="272" t="s">
        <v>574</v>
      </c>
      <c r="AH57" s="273" t="s">
        <v>574</v>
      </c>
      <c r="AI57" s="272"/>
      <c r="AJ57" s="273"/>
      <c r="AK57" s="272"/>
      <c r="AL57" s="273"/>
      <c r="AM57" s="66" t="str">
        <f t="shared" si="12"/>
        <v>제외</v>
      </c>
      <c r="AN57" s="269" t="str">
        <f t="shared" si="13"/>
        <v/>
      </c>
      <c r="AO57" s="327"/>
      <c r="AP57" s="327"/>
      <c r="AQ57" s="327"/>
      <c r="AR57" s="327"/>
      <c r="AS57" s="327"/>
      <c r="AT57" s="327"/>
      <c r="AW57" s="252"/>
      <c r="AX57" s="252"/>
    </row>
    <row r="58" spans="1:50" ht="22.5" customHeight="1" x14ac:dyDescent="0.3">
      <c r="A58" s="267">
        <v>49</v>
      </c>
      <c r="B58" s="320" t="s">
        <v>36</v>
      </c>
      <c r="C58" s="293">
        <v>2238266222</v>
      </c>
      <c r="D58" s="294">
        <v>22382662220</v>
      </c>
      <c r="E58" s="295" t="s">
        <v>444</v>
      </c>
      <c r="F58" s="299"/>
      <c r="G58" s="299"/>
      <c r="H58" s="300"/>
      <c r="I58" s="300"/>
      <c r="J58" s="300"/>
      <c r="K58" s="299"/>
      <c r="L58" s="301"/>
      <c r="M58" s="297" t="s">
        <v>444</v>
      </c>
      <c r="N58" s="298"/>
      <c r="O58" s="274">
        <v>43840</v>
      </c>
      <c r="P58" s="275">
        <v>43852</v>
      </c>
      <c r="Q58" s="272" t="s">
        <v>574</v>
      </c>
      <c r="R58" s="273" t="s">
        <v>574</v>
      </c>
      <c r="S58" s="272" t="s">
        <v>574</v>
      </c>
      <c r="T58" s="273" t="s">
        <v>574</v>
      </c>
      <c r="U58" s="272" t="s">
        <v>574</v>
      </c>
      <c r="V58" s="273" t="s">
        <v>574</v>
      </c>
      <c r="W58" s="272" t="s">
        <v>574</v>
      </c>
      <c r="X58" s="273" t="s">
        <v>574</v>
      </c>
      <c r="Y58" s="272" t="s">
        <v>574</v>
      </c>
      <c r="Z58" s="273" t="s">
        <v>574</v>
      </c>
      <c r="AA58" s="272" t="s">
        <v>574</v>
      </c>
      <c r="AB58" s="273" t="s">
        <v>574</v>
      </c>
      <c r="AC58" s="272" t="s">
        <v>574</v>
      </c>
      <c r="AD58" s="273" t="s">
        <v>574</v>
      </c>
      <c r="AE58" s="272" t="s">
        <v>574</v>
      </c>
      <c r="AF58" s="273" t="s">
        <v>574</v>
      </c>
      <c r="AG58" s="272" t="s">
        <v>574</v>
      </c>
      <c r="AH58" s="273" t="s">
        <v>574</v>
      </c>
      <c r="AI58" s="272"/>
      <c r="AJ58" s="273"/>
      <c r="AK58" s="272"/>
      <c r="AL58" s="273"/>
      <c r="AM58" s="66" t="str">
        <f t="shared" si="12"/>
        <v>제외</v>
      </c>
      <c r="AN58" s="269" t="str">
        <f t="shared" si="13"/>
        <v/>
      </c>
      <c r="AO58" s="327"/>
      <c r="AP58" s="327"/>
      <c r="AQ58" s="327"/>
      <c r="AR58" s="327"/>
      <c r="AS58" s="327"/>
      <c r="AT58" s="327"/>
      <c r="AW58" s="252"/>
      <c r="AX58" s="252"/>
    </row>
    <row r="59" spans="1:50" ht="22.5" customHeight="1" x14ac:dyDescent="0.3">
      <c r="A59" s="267">
        <v>50</v>
      </c>
      <c r="B59" s="320" t="s">
        <v>477</v>
      </c>
      <c r="C59" s="293">
        <v>5308001249</v>
      </c>
      <c r="D59" s="294">
        <v>53080012490</v>
      </c>
      <c r="E59" s="295" t="s">
        <v>444</v>
      </c>
      <c r="F59" s="299"/>
      <c r="G59" s="299"/>
      <c r="H59" s="300"/>
      <c r="I59" s="300"/>
      <c r="J59" s="300"/>
      <c r="K59" s="299"/>
      <c r="L59" s="301"/>
      <c r="M59" s="297" t="s">
        <v>444</v>
      </c>
      <c r="N59" s="298"/>
      <c r="O59" s="274">
        <v>43840</v>
      </c>
      <c r="P59" s="275">
        <v>43852</v>
      </c>
      <c r="Q59" s="274">
        <v>43871</v>
      </c>
      <c r="R59" s="275">
        <v>43885</v>
      </c>
      <c r="S59" s="274">
        <v>43900</v>
      </c>
      <c r="T59" s="275">
        <v>43913</v>
      </c>
      <c r="U59" s="274">
        <v>43931</v>
      </c>
      <c r="V59" s="275">
        <v>43943</v>
      </c>
      <c r="W59" s="274">
        <v>43962</v>
      </c>
      <c r="X59" s="275">
        <v>43973</v>
      </c>
      <c r="Y59" s="272" t="s">
        <v>574</v>
      </c>
      <c r="Z59" s="273" t="s">
        <v>574</v>
      </c>
      <c r="AA59" s="272" t="s">
        <v>574</v>
      </c>
      <c r="AB59" s="273" t="s">
        <v>574</v>
      </c>
      <c r="AC59" s="272" t="s">
        <v>574</v>
      </c>
      <c r="AD59" s="273" t="s">
        <v>574</v>
      </c>
      <c r="AE59" s="272" t="s">
        <v>574</v>
      </c>
      <c r="AF59" s="273" t="s">
        <v>574</v>
      </c>
      <c r="AG59" s="272" t="s">
        <v>574</v>
      </c>
      <c r="AH59" s="273" t="s">
        <v>574</v>
      </c>
      <c r="AI59" s="272"/>
      <c r="AJ59" s="273"/>
      <c r="AK59" s="272"/>
      <c r="AL59" s="273"/>
      <c r="AM59" s="66" t="str">
        <f t="shared" si="12"/>
        <v>제외</v>
      </c>
      <c r="AN59" s="269" t="str">
        <f t="shared" si="13"/>
        <v/>
      </c>
      <c r="AO59" s="327"/>
      <c r="AP59" s="327"/>
      <c r="AQ59" s="327"/>
      <c r="AR59" s="327"/>
      <c r="AS59" s="327"/>
      <c r="AT59" s="327"/>
    </row>
    <row r="60" spans="1:50" ht="22.5" customHeight="1" x14ac:dyDescent="0.3">
      <c r="A60" s="267">
        <v>51</v>
      </c>
      <c r="B60" s="320" t="s">
        <v>9</v>
      </c>
      <c r="C60" s="293"/>
      <c r="D60" s="294"/>
      <c r="E60" s="295" t="s">
        <v>444</v>
      </c>
      <c r="F60" s="299"/>
      <c r="G60" s="299"/>
      <c r="H60" s="300"/>
      <c r="I60" s="300"/>
      <c r="J60" s="300"/>
      <c r="K60" s="299"/>
      <c r="L60" s="301"/>
      <c r="M60" s="297" t="s">
        <v>444</v>
      </c>
      <c r="N60" s="298"/>
      <c r="O60" s="272"/>
      <c r="P60" s="273"/>
      <c r="Q60" s="272"/>
      <c r="R60" s="273"/>
      <c r="S60" s="272"/>
      <c r="T60" s="273"/>
      <c r="U60" s="272"/>
      <c r="V60" s="273"/>
      <c r="W60" s="272"/>
      <c r="X60" s="273"/>
      <c r="Y60" s="272"/>
      <c r="Z60" s="273"/>
      <c r="AA60" s="272"/>
      <c r="AB60" s="273"/>
      <c r="AC60" s="272"/>
      <c r="AD60" s="273"/>
      <c r="AE60" s="272"/>
      <c r="AF60" s="273"/>
      <c r="AG60" s="272"/>
      <c r="AH60" s="273"/>
      <c r="AI60" s="272"/>
      <c r="AJ60" s="273"/>
      <c r="AK60" s="272"/>
      <c r="AL60" s="273"/>
      <c r="AM60" s="66" t="str">
        <f t="shared" si="12"/>
        <v>제외</v>
      </c>
      <c r="AN60" s="269" t="str">
        <f t="shared" si="13"/>
        <v/>
      </c>
      <c r="AO60" s="327"/>
      <c r="AP60" s="327"/>
      <c r="AQ60" s="327"/>
      <c r="AR60" s="327"/>
      <c r="AS60" s="327"/>
      <c r="AT60" s="327"/>
    </row>
    <row r="61" spans="1:50" s="314" customFormat="1" ht="22.5" customHeight="1" x14ac:dyDescent="0.3">
      <c r="A61" s="313">
        <v>52</v>
      </c>
      <c r="B61" s="320" t="s">
        <v>482</v>
      </c>
      <c r="C61" s="293">
        <v>7438101019</v>
      </c>
      <c r="D61" s="294">
        <v>74381010190</v>
      </c>
      <c r="E61" s="295" t="s">
        <v>444</v>
      </c>
      <c r="F61" s="299"/>
      <c r="G61" s="299"/>
      <c r="H61" s="300"/>
      <c r="I61" s="300"/>
      <c r="J61" s="300"/>
      <c r="K61" s="299"/>
      <c r="L61" s="301"/>
      <c r="M61" s="297" t="s">
        <v>444</v>
      </c>
      <c r="N61" s="298"/>
      <c r="O61" s="278">
        <v>43850</v>
      </c>
      <c r="P61" s="279">
        <v>43864</v>
      </c>
      <c r="Q61" s="278">
        <v>43881</v>
      </c>
      <c r="R61" s="279">
        <v>43894</v>
      </c>
      <c r="S61" s="278">
        <v>43910</v>
      </c>
      <c r="T61" s="279">
        <v>43950</v>
      </c>
      <c r="U61" s="278">
        <v>43942</v>
      </c>
      <c r="V61" s="279">
        <v>43957</v>
      </c>
      <c r="W61" s="272" t="s">
        <v>574</v>
      </c>
      <c r="X61" s="273" t="s">
        <v>574</v>
      </c>
      <c r="Y61" s="272" t="s">
        <v>574</v>
      </c>
      <c r="Z61" s="273" t="s">
        <v>574</v>
      </c>
      <c r="AA61" s="272" t="s">
        <v>574</v>
      </c>
      <c r="AB61" s="273" t="s">
        <v>574</v>
      </c>
      <c r="AC61" s="272" t="s">
        <v>574</v>
      </c>
      <c r="AD61" s="273" t="s">
        <v>574</v>
      </c>
      <c r="AE61" s="272" t="s">
        <v>574</v>
      </c>
      <c r="AF61" s="273" t="s">
        <v>574</v>
      </c>
      <c r="AG61" s="272" t="s">
        <v>574</v>
      </c>
      <c r="AH61" s="273" t="s">
        <v>574</v>
      </c>
      <c r="AI61" s="272"/>
      <c r="AJ61" s="273"/>
      <c r="AK61" s="272"/>
      <c r="AL61" s="273"/>
      <c r="AM61" s="66" t="str">
        <f t="shared" si="12"/>
        <v>제외</v>
      </c>
      <c r="AN61" s="313" t="str">
        <f t="shared" si="13"/>
        <v/>
      </c>
      <c r="AO61" s="327"/>
      <c r="AP61" s="327"/>
      <c r="AQ61" s="327"/>
      <c r="AR61" s="327"/>
      <c r="AS61" s="327"/>
      <c r="AT61" s="327"/>
    </row>
    <row r="62" spans="1:50" ht="22.5" customHeight="1" x14ac:dyDescent="0.3">
      <c r="A62" s="327">
        <v>53</v>
      </c>
      <c r="B62" s="320" t="s">
        <v>581</v>
      </c>
      <c r="C62" s="293">
        <v>1418114158</v>
      </c>
      <c r="D62" s="294">
        <v>14181141580</v>
      </c>
      <c r="E62" s="295" t="s">
        <v>444</v>
      </c>
      <c r="F62" s="299"/>
      <c r="G62" s="299"/>
      <c r="H62" s="300"/>
      <c r="I62" s="300"/>
      <c r="J62" s="300"/>
      <c r="K62" s="299"/>
      <c r="L62" s="301"/>
      <c r="M62" s="297" t="s">
        <v>444</v>
      </c>
      <c r="N62" s="298"/>
      <c r="O62" s="272"/>
      <c r="P62" s="273"/>
      <c r="Q62" s="272" t="s">
        <v>574</v>
      </c>
      <c r="R62" s="273" t="s">
        <v>574</v>
      </c>
      <c r="S62" s="272" t="s">
        <v>574</v>
      </c>
      <c r="T62" s="273" t="s">
        <v>574</v>
      </c>
      <c r="U62" s="278">
        <v>43942</v>
      </c>
      <c r="V62" s="279">
        <v>43957</v>
      </c>
      <c r="W62" s="278">
        <v>43971</v>
      </c>
      <c r="X62" s="279">
        <v>43985</v>
      </c>
      <c r="Y62" s="278">
        <v>44002</v>
      </c>
      <c r="Z62" s="279">
        <v>44014</v>
      </c>
      <c r="AA62" s="278">
        <v>44032</v>
      </c>
      <c r="AB62" s="279">
        <v>44046</v>
      </c>
      <c r="AC62" s="272" t="s">
        <v>574</v>
      </c>
      <c r="AD62" s="273" t="s">
        <v>574</v>
      </c>
      <c r="AE62" s="272" t="s">
        <v>574</v>
      </c>
      <c r="AF62" s="273" t="s">
        <v>574</v>
      </c>
      <c r="AG62" s="272" t="s">
        <v>574</v>
      </c>
      <c r="AH62" s="273" t="s">
        <v>574</v>
      </c>
      <c r="AI62" s="272"/>
      <c r="AJ62" s="273"/>
      <c r="AK62" s="272"/>
      <c r="AL62" s="273"/>
      <c r="AM62" s="66" t="str">
        <f t="shared" si="12"/>
        <v>제외</v>
      </c>
      <c r="AN62" s="269" t="str">
        <f t="shared" si="13"/>
        <v/>
      </c>
      <c r="AO62" s="327"/>
      <c r="AP62" s="327"/>
      <c r="AQ62" s="327"/>
      <c r="AR62" s="327"/>
      <c r="AS62" s="327"/>
      <c r="AT62" s="327"/>
    </row>
    <row r="63" spans="1:50" ht="22.5" customHeight="1" x14ac:dyDescent="0.3">
      <c r="A63" s="267">
        <f t="shared" ref="A63:A87" si="14">A62+1</f>
        <v>54</v>
      </c>
      <c r="B63" s="321"/>
      <c r="C63" s="284"/>
      <c r="D63" s="285"/>
      <c r="E63" s="267"/>
      <c r="F63" s="66"/>
      <c r="G63" s="66"/>
      <c r="H63" s="268"/>
      <c r="I63" s="268"/>
      <c r="J63" s="268"/>
      <c r="K63" s="66"/>
      <c r="L63" s="329"/>
      <c r="M63" s="327"/>
      <c r="N63" s="329"/>
      <c r="O63" s="280"/>
      <c r="P63" s="281"/>
      <c r="Q63" s="280"/>
      <c r="R63" s="281"/>
      <c r="S63" s="280"/>
      <c r="T63" s="281"/>
      <c r="U63" s="280"/>
      <c r="V63" s="281"/>
      <c r="W63" s="280"/>
      <c r="X63" s="281"/>
      <c r="Y63" s="280"/>
      <c r="Z63" s="281"/>
      <c r="AA63" s="280"/>
      <c r="AB63" s="281"/>
      <c r="AC63" s="280"/>
      <c r="AD63" s="281"/>
      <c r="AE63" s="280"/>
      <c r="AF63" s="281"/>
      <c r="AG63" s="280"/>
      <c r="AH63" s="281"/>
      <c r="AI63" s="280"/>
      <c r="AJ63" s="281"/>
      <c r="AK63" s="280"/>
      <c r="AL63" s="281"/>
      <c r="AM63" s="66"/>
      <c r="AN63" s="269"/>
      <c r="AO63" s="121"/>
      <c r="AP63" s="121"/>
      <c r="AQ63" s="121"/>
      <c r="AR63" s="121"/>
      <c r="AS63" s="121"/>
      <c r="AT63" s="121"/>
    </row>
    <row r="64" spans="1:50" ht="22.5" customHeight="1" x14ac:dyDescent="0.3">
      <c r="A64" s="267">
        <f t="shared" si="14"/>
        <v>55</v>
      </c>
      <c r="B64" s="321"/>
      <c r="C64" s="284"/>
      <c r="D64" s="285"/>
      <c r="E64" s="267"/>
      <c r="F64" s="66"/>
      <c r="G64" s="66"/>
      <c r="H64" s="268"/>
      <c r="I64" s="268"/>
      <c r="J64" s="268"/>
      <c r="K64" s="66"/>
      <c r="L64" s="329"/>
      <c r="M64" s="327"/>
      <c r="N64" s="268"/>
      <c r="O64" s="280"/>
      <c r="P64" s="281"/>
      <c r="Q64" s="280"/>
      <c r="R64" s="281"/>
      <c r="S64" s="280"/>
      <c r="T64" s="281"/>
      <c r="U64" s="280"/>
      <c r="V64" s="281"/>
      <c r="W64" s="280"/>
      <c r="X64" s="281"/>
      <c r="Y64" s="280"/>
      <c r="Z64" s="281"/>
      <c r="AA64" s="280"/>
      <c r="AB64" s="281"/>
      <c r="AC64" s="280"/>
      <c r="AD64" s="281"/>
      <c r="AE64" s="280"/>
      <c r="AF64" s="281"/>
      <c r="AG64" s="280"/>
      <c r="AH64" s="281"/>
      <c r="AI64" s="280"/>
      <c r="AJ64" s="281"/>
      <c r="AK64" s="280"/>
      <c r="AL64" s="281"/>
      <c r="AM64" s="66"/>
      <c r="AN64" s="269"/>
      <c r="AO64" s="121"/>
      <c r="AP64" s="121"/>
      <c r="AQ64" s="121"/>
      <c r="AR64" s="121"/>
      <c r="AS64" s="121"/>
      <c r="AT64" s="121"/>
    </row>
    <row r="65" spans="1:46" ht="22.5" customHeight="1" x14ac:dyDescent="0.3">
      <c r="A65" s="267">
        <f t="shared" si="14"/>
        <v>56</v>
      </c>
      <c r="B65" s="321"/>
      <c r="C65" s="284"/>
      <c r="D65" s="285"/>
      <c r="E65" s="267"/>
      <c r="F65" s="66"/>
      <c r="G65" s="66"/>
      <c r="H65" s="268"/>
      <c r="I65" s="268"/>
      <c r="J65" s="268"/>
      <c r="K65" s="66"/>
      <c r="L65" s="329"/>
      <c r="M65" s="327"/>
      <c r="N65" s="268"/>
      <c r="O65" s="280"/>
      <c r="P65" s="281"/>
      <c r="Q65" s="280"/>
      <c r="R65" s="281"/>
      <c r="S65" s="280"/>
      <c r="T65" s="281"/>
      <c r="U65" s="280"/>
      <c r="V65" s="281"/>
      <c r="W65" s="280"/>
      <c r="X65" s="281"/>
      <c r="Y65" s="280"/>
      <c r="Z65" s="281"/>
      <c r="AA65" s="280"/>
      <c r="AB65" s="281"/>
      <c r="AC65" s="280"/>
      <c r="AD65" s="281"/>
      <c r="AE65" s="280"/>
      <c r="AF65" s="281"/>
      <c r="AG65" s="280"/>
      <c r="AH65" s="281"/>
      <c r="AI65" s="280"/>
      <c r="AJ65" s="281"/>
      <c r="AK65" s="280"/>
      <c r="AL65" s="281"/>
      <c r="AM65" s="66"/>
      <c r="AN65" s="269"/>
      <c r="AO65" s="121"/>
      <c r="AP65" s="121"/>
      <c r="AQ65" s="121"/>
      <c r="AR65" s="121"/>
      <c r="AS65" s="121"/>
      <c r="AT65" s="121"/>
    </row>
    <row r="66" spans="1:46" ht="22.5" customHeight="1" x14ac:dyDescent="0.3">
      <c r="A66" s="267">
        <f t="shared" si="14"/>
        <v>57</v>
      </c>
      <c r="B66" s="321"/>
      <c r="C66" s="284"/>
      <c r="D66" s="285"/>
      <c r="E66" s="267"/>
      <c r="F66" s="66"/>
      <c r="G66" s="66"/>
      <c r="H66" s="268"/>
      <c r="I66" s="268"/>
      <c r="J66" s="268"/>
      <c r="K66" s="66"/>
      <c r="L66" s="329"/>
      <c r="M66" s="327"/>
      <c r="N66" s="268"/>
      <c r="O66" s="280"/>
      <c r="P66" s="281"/>
      <c r="Q66" s="280"/>
      <c r="R66" s="281"/>
      <c r="S66" s="280"/>
      <c r="T66" s="281"/>
      <c r="U66" s="280"/>
      <c r="V66" s="281"/>
      <c r="W66" s="280"/>
      <c r="X66" s="281"/>
      <c r="Y66" s="280"/>
      <c r="Z66" s="281"/>
      <c r="AA66" s="280"/>
      <c r="AB66" s="281"/>
      <c r="AC66" s="280"/>
      <c r="AD66" s="281"/>
      <c r="AE66" s="280"/>
      <c r="AF66" s="281"/>
      <c r="AG66" s="280"/>
      <c r="AH66" s="281"/>
      <c r="AI66" s="280"/>
      <c r="AJ66" s="281"/>
      <c r="AK66" s="280"/>
      <c r="AL66" s="281"/>
      <c r="AM66" s="66"/>
      <c r="AN66" s="269"/>
      <c r="AO66" s="121"/>
      <c r="AP66" s="121"/>
      <c r="AQ66" s="121"/>
      <c r="AR66" s="121"/>
      <c r="AS66" s="121"/>
      <c r="AT66" s="121"/>
    </row>
    <row r="67" spans="1:46" ht="22.5" customHeight="1" x14ac:dyDescent="0.3">
      <c r="A67" s="267">
        <f t="shared" si="14"/>
        <v>58</v>
      </c>
      <c r="B67" s="321"/>
      <c r="C67" s="284"/>
      <c r="D67" s="285"/>
      <c r="E67" s="267"/>
      <c r="F67" s="66"/>
      <c r="G67" s="66"/>
      <c r="H67" s="268"/>
      <c r="I67" s="268"/>
      <c r="J67" s="268"/>
      <c r="K67" s="66"/>
      <c r="L67" s="329"/>
      <c r="M67" s="327"/>
      <c r="N67" s="268"/>
      <c r="O67" s="280"/>
      <c r="P67" s="281"/>
      <c r="Q67" s="280"/>
      <c r="R67" s="281"/>
      <c r="S67" s="280"/>
      <c r="T67" s="281"/>
      <c r="U67" s="280"/>
      <c r="V67" s="281"/>
      <c r="W67" s="280"/>
      <c r="X67" s="281"/>
      <c r="Y67" s="280"/>
      <c r="Z67" s="281"/>
      <c r="AA67" s="280"/>
      <c r="AB67" s="281"/>
      <c r="AC67" s="280"/>
      <c r="AD67" s="281"/>
      <c r="AE67" s="280"/>
      <c r="AF67" s="281"/>
      <c r="AG67" s="280"/>
      <c r="AH67" s="281"/>
      <c r="AI67" s="280"/>
      <c r="AJ67" s="281"/>
      <c r="AK67" s="280"/>
      <c r="AL67" s="281"/>
      <c r="AM67" s="66"/>
      <c r="AN67" s="269"/>
      <c r="AO67" s="121"/>
      <c r="AP67" s="121"/>
      <c r="AQ67" s="121"/>
      <c r="AR67" s="121"/>
      <c r="AS67" s="121"/>
      <c r="AT67" s="121"/>
    </row>
    <row r="68" spans="1:46" ht="22.5" customHeight="1" x14ac:dyDescent="0.3">
      <c r="A68" s="267">
        <f t="shared" si="14"/>
        <v>59</v>
      </c>
      <c r="B68" s="321"/>
      <c r="C68" s="284"/>
      <c r="D68" s="285"/>
      <c r="E68" s="267"/>
      <c r="F68" s="66"/>
      <c r="G68" s="66"/>
      <c r="H68" s="268"/>
      <c r="I68" s="268"/>
      <c r="J68" s="268"/>
      <c r="K68" s="66"/>
      <c r="L68" s="329"/>
      <c r="M68" s="327"/>
      <c r="N68" s="268"/>
      <c r="O68" s="280"/>
      <c r="P68" s="281"/>
      <c r="Q68" s="280"/>
      <c r="R68" s="281"/>
      <c r="S68" s="280"/>
      <c r="T68" s="281"/>
      <c r="U68" s="280"/>
      <c r="V68" s="281"/>
      <c r="W68" s="280"/>
      <c r="X68" s="281"/>
      <c r="Y68" s="280"/>
      <c r="Z68" s="281"/>
      <c r="AA68" s="280"/>
      <c r="AB68" s="281"/>
      <c r="AC68" s="280"/>
      <c r="AD68" s="281"/>
      <c r="AE68" s="280"/>
      <c r="AF68" s="281"/>
      <c r="AG68" s="280"/>
      <c r="AH68" s="281"/>
      <c r="AI68" s="280"/>
      <c r="AJ68" s="281"/>
      <c r="AK68" s="280"/>
      <c r="AL68" s="281"/>
      <c r="AM68" s="66"/>
      <c r="AN68" s="269"/>
      <c r="AO68" s="121"/>
      <c r="AP68" s="121"/>
      <c r="AQ68" s="121"/>
      <c r="AR68" s="121"/>
      <c r="AS68" s="121"/>
      <c r="AT68" s="121"/>
    </row>
    <row r="69" spans="1:46" ht="22.5" customHeight="1" x14ac:dyDescent="0.3">
      <c r="A69" s="267">
        <f t="shared" si="14"/>
        <v>60</v>
      </c>
      <c r="B69" s="321"/>
      <c r="C69" s="284"/>
      <c r="D69" s="285"/>
      <c r="E69" s="267"/>
      <c r="F69" s="66"/>
      <c r="G69" s="66"/>
      <c r="H69" s="268"/>
      <c r="I69" s="268"/>
      <c r="J69" s="268"/>
      <c r="K69" s="66"/>
      <c r="L69" s="329"/>
      <c r="M69" s="327"/>
      <c r="N69" s="268"/>
      <c r="O69" s="280"/>
      <c r="P69" s="281"/>
      <c r="Q69" s="280"/>
      <c r="R69" s="281"/>
      <c r="S69" s="280"/>
      <c r="T69" s="281"/>
      <c r="U69" s="280"/>
      <c r="V69" s="281"/>
      <c r="W69" s="280"/>
      <c r="X69" s="281"/>
      <c r="Y69" s="280"/>
      <c r="Z69" s="281"/>
      <c r="AA69" s="280"/>
      <c r="AB69" s="281"/>
      <c r="AC69" s="280"/>
      <c r="AD69" s="281"/>
      <c r="AE69" s="280"/>
      <c r="AF69" s="281"/>
      <c r="AG69" s="280"/>
      <c r="AH69" s="281"/>
      <c r="AI69" s="280"/>
      <c r="AJ69" s="281"/>
      <c r="AK69" s="280"/>
      <c r="AL69" s="281"/>
      <c r="AM69" s="66"/>
      <c r="AN69" s="269"/>
      <c r="AO69" s="121"/>
      <c r="AP69" s="121"/>
      <c r="AQ69" s="121"/>
      <c r="AR69" s="121"/>
      <c r="AS69" s="121"/>
      <c r="AT69" s="121"/>
    </row>
    <row r="70" spans="1:46" ht="22.5" customHeight="1" x14ac:dyDescent="0.3">
      <c r="A70" s="267">
        <f t="shared" si="14"/>
        <v>61</v>
      </c>
      <c r="B70" s="321"/>
      <c r="C70" s="284"/>
      <c r="D70" s="285"/>
      <c r="E70" s="267"/>
      <c r="F70" s="66"/>
      <c r="G70" s="66"/>
      <c r="H70" s="268"/>
      <c r="I70" s="268"/>
      <c r="J70" s="268"/>
      <c r="K70" s="66"/>
      <c r="L70" s="329"/>
      <c r="M70" s="327"/>
      <c r="N70" s="329"/>
      <c r="O70" s="280"/>
      <c r="P70" s="281"/>
      <c r="Q70" s="280"/>
      <c r="R70" s="281"/>
      <c r="S70" s="280"/>
      <c r="T70" s="281"/>
      <c r="U70" s="280"/>
      <c r="V70" s="281"/>
      <c r="W70" s="280"/>
      <c r="X70" s="281"/>
      <c r="Y70" s="280"/>
      <c r="Z70" s="281"/>
      <c r="AA70" s="280"/>
      <c r="AB70" s="281"/>
      <c r="AC70" s="280"/>
      <c r="AD70" s="281"/>
      <c r="AE70" s="280"/>
      <c r="AF70" s="281"/>
      <c r="AG70" s="280"/>
      <c r="AH70" s="281"/>
      <c r="AI70" s="280"/>
      <c r="AJ70" s="281"/>
      <c r="AK70" s="280"/>
      <c r="AL70" s="281"/>
      <c r="AM70" s="66"/>
      <c r="AN70" s="269"/>
      <c r="AO70" s="121"/>
      <c r="AP70" s="121"/>
      <c r="AQ70" s="121"/>
      <c r="AR70" s="121"/>
      <c r="AS70" s="121"/>
      <c r="AT70" s="121"/>
    </row>
    <row r="71" spans="1:46" ht="22.5" customHeight="1" x14ac:dyDescent="0.3">
      <c r="A71" s="267">
        <f t="shared" si="14"/>
        <v>62</v>
      </c>
      <c r="B71" s="321"/>
      <c r="C71" s="284"/>
      <c r="D71" s="285"/>
      <c r="E71" s="267"/>
      <c r="F71" s="66"/>
      <c r="G71" s="66"/>
      <c r="H71" s="268"/>
      <c r="I71" s="268"/>
      <c r="J71" s="268"/>
      <c r="K71" s="66"/>
      <c r="L71" s="329"/>
      <c r="M71" s="327"/>
      <c r="N71" s="268"/>
      <c r="O71" s="280"/>
      <c r="P71" s="281"/>
      <c r="Q71" s="280"/>
      <c r="R71" s="281"/>
      <c r="S71" s="280"/>
      <c r="T71" s="281"/>
      <c r="U71" s="280"/>
      <c r="V71" s="281"/>
      <c r="W71" s="280"/>
      <c r="X71" s="281"/>
      <c r="Y71" s="280"/>
      <c r="Z71" s="281"/>
      <c r="AA71" s="280"/>
      <c r="AB71" s="281"/>
      <c r="AC71" s="280"/>
      <c r="AD71" s="281"/>
      <c r="AE71" s="280"/>
      <c r="AF71" s="281"/>
      <c r="AG71" s="280"/>
      <c r="AH71" s="281"/>
      <c r="AI71" s="280"/>
      <c r="AJ71" s="281"/>
      <c r="AK71" s="280"/>
      <c r="AL71" s="281"/>
      <c r="AM71" s="66"/>
      <c r="AN71" s="269"/>
      <c r="AO71" s="121"/>
      <c r="AP71" s="121"/>
      <c r="AQ71" s="121"/>
      <c r="AR71" s="121"/>
      <c r="AS71" s="121"/>
      <c r="AT71" s="121"/>
    </row>
    <row r="72" spans="1:46" ht="22.5" customHeight="1" x14ac:dyDescent="0.3">
      <c r="A72" s="267">
        <f t="shared" si="14"/>
        <v>63</v>
      </c>
      <c r="B72" s="321"/>
      <c r="C72" s="284"/>
      <c r="D72" s="285"/>
      <c r="E72" s="267"/>
      <c r="F72" s="66"/>
      <c r="G72" s="66"/>
      <c r="H72" s="268"/>
      <c r="I72" s="268"/>
      <c r="J72" s="268"/>
      <c r="K72" s="66"/>
      <c r="L72" s="329"/>
      <c r="M72" s="327"/>
      <c r="N72" s="268"/>
      <c r="O72" s="280"/>
      <c r="P72" s="281"/>
      <c r="Q72" s="280"/>
      <c r="R72" s="281"/>
      <c r="S72" s="280"/>
      <c r="T72" s="281"/>
      <c r="U72" s="280"/>
      <c r="V72" s="281"/>
      <c r="W72" s="280"/>
      <c r="X72" s="281"/>
      <c r="Y72" s="280"/>
      <c r="Z72" s="281"/>
      <c r="AA72" s="280"/>
      <c r="AB72" s="281"/>
      <c r="AC72" s="280"/>
      <c r="AD72" s="281"/>
      <c r="AE72" s="280"/>
      <c r="AF72" s="281"/>
      <c r="AG72" s="280"/>
      <c r="AH72" s="281"/>
      <c r="AI72" s="280"/>
      <c r="AJ72" s="281"/>
      <c r="AK72" s="280"/>
      <c r="AL72" s="281"/>
      <c r="AM72" s="66"/>
      <c r="AN72" s="269"/>
      <c r="AO72" s="121"/>
      <c r="AP72" s="121"/>
      <c r="AQ72" s="121"/>
      <c r="AR72" s="121"/>
      <c r="AS72" s="121"/>
      <c r="AT72" s="121"/>
    </row>
    <row r="73" spans="1:46" ht="22.5" customHeight="1" x14ac:dyDescent="0.3">
      <c r="A73" s="267">
        <f t="shared" si="14"/>
        <v>64</v>
      </c>
      <c r="B73" s="321"/>
      <c r="C73" s="284"/>
      <c r="D73" s="285"/>
      <c r="E73" s="267"/>
      <c r="F73" s="66"/>
      <c r="G73" s="66"/>
      <c r="H73" s="268"/>
      <c r="I73" s="268"/>
      <c r="J73" s="268"/>
      <c r="K73" s="66"/>
      <c r="L73" s="329"/>
      <c r="M73" s="327"/>
      <c r="N73" s="268"/>
      <c r="O73" s="280"/>
      <c r="P73" s="281"/>
      <c r="Q73" s="280"/>
      <c r="R73" s="281"/>
      <c r="S73" s="280"/>
      <c r="T73" s="281"/>
      <c r="U73" s="280"/>
      <c r="V73" s="281"/>
      <c r="W73" s="280"/>
      <c r="X73" s="281"/>
      <c r="Y73" s="280"/>
      <c r="Z73" s="281"/>
      <c r="AA73" s="280"/>
      <c r="AB73" s="281"/>
      <c r="AC73" s="280"/>
      <c r="AD73" s="281"/>
      <c r="AE73" s="280"/>
      <c r="AF73" s="281"/>
      <c r="AG73" s="280"/>
      <c r="AH73" s="281"/>
      <c r="AI73" s="280"/>
      <c r="AJ73" s="281"/>
      <c r="AK73" s="280"/>
      <c r="AL73" s="281"/>
      <c r="AM73" s="66"/>
      <c r="AN73" s="269"/>
      <c r="AO73" s="121"/>
      <c r="AP73" s="121"/>
      <c r="AQ73" s="121"/>
      <c r="AR73" s="121"/>
      <c r="AS73" s="121"/>
      <c r="AT73" s="121"/>
    </row>
    <row r="74" spans="1:46" ht="22.5" customHeight="1" x14ac:dyDescent="0.3">
      <c r="A74" s="267">
        <f t="shared" si="14"/>
        <v>65</v>
      </c>
      <c r="B74" s="321"/>
      <c r="C74" s="284"/>
      <c r="D74" s="285"/>
      <c r="E74" s="267"/>
      <c r="F74" s="66"/>
      <c r="G74" s="66"/>
      <c r="H74" s="268"/>
      <c r="I74" s="268"/>
      <c r="J74" s="268"/>
      <c r="K74" s="66"/>
      <c r="L74" s="329"/>
      <c r="M74" s="327"/>
      <c r="N74" s="268"/>
      <c r="O74" s="280"/>
      <c r="P74" s="281"/>
      <c r="Q74" s="280"/>
      <c r="R74" s="281"/>
      <c r="S74" s="280"/>
      <c r="T74" s="281"/>
      <c r="U74" s="280"/>
      <c r="V74" s="281"/>
      <c r="W74" s="280"/>
      <c r="X74" s="281"/>
      <c r="Y74" s="280"/>
      <c r="Z74" s="281"/>
      <c r="AA74" s="280"/>
      <c r="AB74" s="281"/>
      <c r="AC74" s="280"/>
      <c r="AD74" s="281"/>
      <c r="AE74" s="280"/>
      <c r="AF74" s="281"/>
      <c r="AG74" s="280"/>
      <c r="AH74" s="281"/>
      <c r="AI74" s="280"/>
      <c r="AJ74" s="281"/>
      <c r="AK74" s="280"/>
      <c r="AL74" s="281"/>
      <c r="AM74" s="66"/>
      <c r="AN74" s="269"/>
      <c r="AO74" s="121"/>
      <c r="AP74" s="121"/>
      <c r="AQ74" s="121"/>
      <c r="AR74" s="121"/>
      <c r="AS74" s="121"/>
      <c r="AT74" s="121"/>
    </row>
    <row r="75" spans="1:46" ht="22.5" customHeight="1" x14ac:dyDescent="0.3">
      <c r="A75" s="267">
        <f t="shared" si="14"/>
        <v>66</v>
      </c>
      <c r="B75" s="321"/>
      <c r="C75" s="284"/>
      <c r="D75" s="285"/>
      <c r="E75" s="267"/>
      <c r="F75" s="66"/>
      <c r="G75" s="66"/>
      <c r="H75" s="268"/>
      <c r="I75" s="268"/>
      <c r="J75" s="268"/>
      <c r="K75" s="66"/>
      <c r="L75" s="329"/>
      <c r="M75" s="327"/>
      <c r="N75" s="329"/>
      <c r="O75" s="280"/>
      <c r="P75" s="281"/>
      <c r="Q75" s="280"/>
      <c r="R75" s="281"/>
      <c r="S75" s="280"/>
      <c r="T75" s="281"/>
      <c r="U75" s="280"/>
      <c r="V75" s="281"/>
      <c r="W75" s="280"/>
      <c r="X75" s="281"/>
      <c r="Y75" s="280"/>
      <c r="Z75" s="281"/>
      <c r="AA75" s="280"/>
      <c r="AB75" s="281"/>
      <c r="AC75" s="280"/>
      <c r="AD75" s="281"/>
      <c r="AE75" s="280"/>
      <c r="AF75" s="281"/>
      <c r="AG75" s="280"/>
      <c r="AH75" s="281"/>
      <c r="AI75" s="280"/>
      <c r="AJ75" s="281"/>
      <c r="AK75" s="280"/>
      <c r="AL75" s="281"/>
      <c r="AM75" s="66"/>
      <c r="AN75" s="269"/>
      <c r="AO75" s="121"/>
      <c r="AP75" s="121"/>
      <c r="AQ75" s="121"/>
      <c r="AR75" s="121"/>
      <c r="AS75" s="121"/>
      <c r="AT75" s="121"/>
    </row>
    <row r="76" spans="1:46" ht="22.5" customHeight="1" x14ac:dyDescent="0.3">
      <c r="A76" s="267">
        <f t="shared" si="14"/>
        <v>67</v>
      </c>
      <c r="B76" s="321"/>
      <c r="C76" s="284"/>
      <c r="D76" s="285"/>
      <c r="E76" s="267"/>
      <c r="F76" s="66"/>
      <c r="G76" s="66"/>
      <c r="H76" s="268"/>
      <c r="I76" s="268"/>
      <c r="J76" s="268"/>
      <c r="K76" s="66"/>
      <c r="L76" s="329"/>
      <c r="M76" s="327"/>
      <c r="N76" s="329"/>
      <c r="O76" s="280"/>
      <c r="P76" s="281"/>
      <c r="Q76" s="280"/>
      <c r="R76" s="281"/>
      <c r="S76" s="280"/>
      <c r="T76" s="281"/>
      <c r="U76" s="280"/>
      <c r="V76" s="281"/>
      <c r="W76" s="280"/>
      <c r="X76" s="281"/>
      <c r="Y76" s="280"/>
      <c r="Z76" s="281"/>
      <c r="AA76" s="280"/>
      <c r="AB76" s="281"/>
      <c r="AC76" s="280"/>
      <c r="AD76" s="281"/>
      <c r="AE76" s="280"/>
      <c r="AF76" s="281"/>
      <c r="AG76" s="280"/>
      <c r="AH76" s="281"/>
      <c r="AI76" s="280"/>
      <c r="AJ76" s="281"/>
      <c r="AK76" s="280"/>
      <c r="AL76" s="281"/>
      <c r="AM76" s="66"/>
      <c r="AN76" s="269"/>
      <c r="AO76" s="121"/>
      <c r="AP76" s="121"/>
      <c r="AQ76" s="121"/>
      <c r="AR76" s="121"/>
      <c r="AS76" s="121"/>
      <c r="AT76" s="121"/>
    </row>
    <row r="77" spans="1:46" ht="22.5" customHeight="1" x14ac:dyDescent="0.3">
      <c r="A77" s="267">
        <f t="shared" si="14"/>
        <v>68</v>
      </c>
      <c r="B77" s="321"/>
      <c r="C77" s="284"/>
      <c r="D77" s="285"/>
      <c r="E77" s="267"/>
      <c r="F77" s="66"/>
      <c r="G77" s="66"/>
      <c r="H77" s="268"/>
      <c r="I77" s="268"/>
      <c r="J77" s="268"/>
      <c r="K77" s="66"/>
      <c r="L77" s="329"/>
      <c r="M77" s="327"/>
      <c r="N77" s="329"/>
      <c r="O77" s="280"/>
      <c r="P77" s="281"/>
      <c r="Q77" s="280"/>
      <c r="R77" s="281"/>
      <c r="S77" s="280"/>
      <c r="T77" s="281"/>
      <c r="U77" s="280"/>
      <c r="V77" s="281"/>
      <c r="W77" s="280"/>
      <c r="X77" s="281"/>
      <c r="Y77" s="280"/>
      <c r="Z77" s="281"/>
      <c r="AA77" s="280"/>
      <c r="AB77" s="281"/>
      <c r="AC77" s="280"/>
      <c r="AD77" s="281"/>
      <c r="AE77" s="280"/>
      <c r="AF77" s="281"/>
      <c r="AG77" s="280"/>
      <c r="AH77" s="281"/>
      <c r="AI77" s="280"/>
      <c r="AJ77" s="281"/>
      <c r="AK77" s="280"/>
      <c r="AL77" s="281"/>
      <c r="AM77" s="66"/>
      <c r="AN77" s="269"/>
      <c r="AO77" s="121"/>
      <c r="AP77" s="121"/>
      <c r="AQ77" s="121"/>
      <c r="AR77" s="121"/>
      <c r="AS77" s="121"/>
      <c r="AT77" s="121"/>
    </row>
    <row r="78" spans="1:46" ht="22.5" customHeight="1" x14ac:dyDescent="0.3">
      <c r="A78" s="267">
        <f t="shared" si="14"/>
        <v>69</v>
      </c>
      <c r="B78" s="321"/>
      <c r="C78" s="284"/>
      <c r="D78" s="285"/>
      <c r="E78" s="267"/>
      <c r="F78" s="66"/>
      <c r="G78" s="66"/>
      <c r="H78" s="268"/>
      <c r="I78" s="268"/>
      <c r="J78" s="268"/>
      <c r="K78" s="66"/>
      <c r="L78" s="329"/>
      <c r="M78" s="327"/>
      <c r="N78" s="329"/>
      <c r="O78" s="280"/>
      <c r="P78" s="281"/>
      <c r="Q78" s="280"/>
      <c r="R78" s="281"/>
      <c r="S78" s="280"/>
      <c r="T78" s="281"/>
      <c r="U78" s="280"/>
      <c r="V78" s="281"/>
      <c r="W78" s="280"/>
      <c r="X78" s="281"/>
      <c r="Y78" s="280"/>
      <c r="Z78" s="281"/>
      <c r="AA78" s="280"/>
      <c r="AB78" s="281"/>
      <c r="AC78" s="280"/>
      <c r="AD78" s="281"/>
      <c r="AE78" s="280"/>
      <c r="AF78" s="281"/>
      <c r="AG78" s="280"/>
      <c r="AH78" s="281"/>
      <c r="AI78" s="280"/>
      <c r="AJ78" s="281"/>
      <c r="AK78" s="280"/>
      <c r="AL78" s="281"/>
      <c r="AM78" s="66"/>
      <c r="AN78" s="269"/>
      <c r="AO78" s="121"/>
      <c r="AP78" s="121"/>
      <c r="AQ78" s="121"/>
      <c r="AR78" s="121"/>
      <c r="AS78" s="121"/>
      <c r="AT78" s="121"/>
    </row>
    <row r="79" spans="1:46" ht="22.5" customHeight="1" x14ac:dyDescent="0.3">
      <c r="A79" s="267">
        <f t="shared" si="14"/>
        <v>70</v>
      </c>
      <c r="B79" s="321"/>
      <c r="C79" s="284"/>
      <c r="D79" s="285"/>
      <c r="E79" s="267"/>
      <c r="F79" s="66"/>
      <c r="G79" s="66"/>
      <c r="H79" s="268"/>
      <c r="I79" s="268"/>
      <c r="J79" s="268"/>
      <c r="K79" s="66"/>
      <c r="L79" s="329"/>
      <c r="M79" s="327"/>
      <c r="N79" s="329"/>
      <c r="O79" s="280"/>
      <c r="P79" s="281"/>
      <c r="Q79" s="280"/>
      <c r="R79" s="281"/>
      <c r="S79" s="280"/>
      <c r="T79" s="281"/>
      <c r="U79" s="280"/>
      <c r="V79" s="281"/>
      <c r="W79" s="280"/>
      <c r="X79" s="281"/>
      <c r="Y79" s="280"/>
      <c r="Z79" s="281"/>
      <c r="AA79" s="280"/>
      <c r="AB79" s="281"/>
      <c r="AC79" s="280"/>
      <c r="AD79" s="281"/>
      <c r="AE79" s="280"/>
      <c r="AF79" s="281"/>
      <c r="AG79" s="280"/>
      <c r="AH79" s="281"/>
      <c r="AI79" s="280"/>
      <c r="AJ79" s="281"/>
      <c r="AK79" s="280"/>
      <c r="AL79" s="281"/>
      <c r="AM79" s="66"/>
      <c r="AN79" s="269"/>
      <c r="AO79" s="121"/>
      <c r="AP79" s="121"/>
      <c r="AQ79" s="121"/>
      <c r="AR79" s="121"/>
      <c r="AS79" s="121"/>
      <c r="AT79" s="121"/>
    </row>
    <row r="80" spans="1:46" ht="22.5" customHeight="1" x14ac:dyDescent="0.3">
      <c r="A80" s="267">
        <f t="shared" si="14"/>
        <v>71</v>
      </c>
      <c r="B80" s="321"/>
      <c r="C80" s="284"/>
      <c r="D80" s="285"/>
      <c r="E80" s="327"/>
      <c r="F80" s="66"/>
      <c r="G80" s="66"/>
      <c r="H80" s="329"/>
      <c r="I80" s="329"/>
      <c r="J80" s="329"/>
      <c r="K80" s="66"/>
      <c r="L80" s="329"/>
      <c r="M80" s="327"/>
      <c r="N80" s="268"/>
      <c r="O80" s="280"/>
      <c r="P80" s="281"/>
      <c r="Q80" s="280"/>
      <c r="R80" s="281"/>
      <c r="S80" s="280"/>
      <c r="T80" s="281"/>
      <c r="U80" s="280"/>
      <c r="V80" s="281"/>
      <c r="W80" s="280"/>
      <c r="X80" s="281"/>
      <c r="Y80" s="280"/>
      <c r="Z80" s="281"/>
      <c r="AA80" s="280"/>
      <c r="AB80" s="281"/>
      <c r="AC80" s="280"/>
      <c r="AD80" s="281"/>
      <c r="AE80" s="280"/>
      <c r="AF80" s="281"/>
      <c r="AG80" s="280"/>
      <c r="AH80" s="281"/>
      <c r="AI80" s="280"/>
      <c r="AJ80" s="281"/>
      <c r="AK80" s="280"/>
      <c r="AL80" s="281"/>
      <c r="AM80" s="66"/>
      <c r="AN80" s="269"/>
      <c r="AO80" s="121"/>
      <c r="AP80" s="121"/>
      <c r="AQ80" s="121"/>
      <c r="AR80" s="121"/>
      <c r="AS80" s="121"/>
      <c r="AT80" s="121"/>
    </row>
    <row r="81" spans="1:46" ht="22.5" customHeight="1" x14ac:dyDescent="0.3">
      <c r="A81" s="267">
        <f t="shared" si="14"/>
        <v>72</v>
      </c>
      <c r="B81" s="321"/>
      <c r="C81" s="284"/>
      <c r="D81" s="285"/>
      <c r="E81" s="327"/>
      <c r="F81" s="66"/>
      <c r="G81" s="66"/>
      <c r="H81" s="329"/>
      <c r="I81" s="329"/>
      <c r="J81" s="329"/>
      <c r="K81" s="66"/>
      <c r="L81" s="329"/>
      <c r="M81" s="327"/>
      <c r="N81" s="329"/>
      <c r="O81" s="280"/>
      <c r="P81" s="281"/>
      <c r="Q81" s="280"/>
      <c r="R81" s="281"/>
      <c r="S81" s="280"/>
      <c r="T81" s="281"/>
      <c r="U81" s="280"/>
      <c r="V81" s="281"/>
      <c r="W81" s="280"/>
      <c r="X81" s="281"/>
      <c r="Y81" s="280"/>
      <c r="Z81" s="281"/>
      <c r="AA81" s="280"/>
      <c r="AB81" s="281"/>
      <c r="AC81" s="280"/>
      <c r="AD81" s="281"/>
      <c r="AE81" s="280"/>
      <c r="AF81" s="281"/>
      <c r="AG81" s="280"/>
      <c r="AH81" s="281"/>
      <c r="AI81" s="280"/>
      <c r="AJ81" s="281"/>
      <c r="AK81" s="280"/>
      <c r="AL81" s="281"/>
      <c r="AM81" s="66"/>
      <c r="AN81" s="269"/>
      <c r="AO81" s="121"/>
      <c r="AP81" s="121"/>
      <c r="AQ81" s="121"/>
      <c r="AR81" s="121"/>
      <c r="AS81" s="121"/>
      <c r="AT81" s="121"/>
    </row>
    <row r="82" spans="1:46" ht="22.5" customHeight="1" x14ac:dyDescent="0.3">
      <c r="A82" s="267">
        <f t="shared" si="14"/>
        <v>73</v>
      </c>
      <c r="B82" s="321"/>
      <c r="C82" s="284"/>
      <c r="D82" s="285"/>
      <c r="E82" s="327"/>
      <c r="F82" s="66"/>
      <c r="G82" s="66"/>
      <c r="H82" s="329"/>
      <c r="I82" s="329"/>
      <c r="J82" s="329"/>
      <c r="K82" s="66"/>
      <c r="L82" s="329"/>
      <c r="M82" s="327"/>
      <c r="N82" s="329"/>
      <c r="O82" s="280"/>
      <c r="P82" s="281"/>
      <c r="Q82" s="280"/>
      <c r="R82" s="281"/>
      <c r="S82" s="280"/>
      <c r="T82" s="281"/>
      <c r="U82" s="280"/>
      <c r="V82" s="281"/>
      <c r="W82" s="280"/>
      <c r="X82" s="281"/>
      <c r="Y82" s="280"/>
      <c r="Z82" s="281"/>
      <c r="AA82" s="280"/>
      <c r="AB82" s="281"/>
      <c r="AC82" s="280"/>
      <c r="AD82" s="281"/>
      <c r="AE82" s="280"/>
      <c r="AF82" s="281"/>
      <c r="AG82" s="280"/>
      <c r="AH82" s="281"/>
      <c r="AI82" s="280"/>
      <c r="AJ82" s="281"/>
      <c r="AK82" s="280"/>
      <c r="AL82" s="281"/>
      <c r="AM82" s="66"/>
      <c r="AN82" s="269"/>
      <c r="AO82" s="121"/>
      <c r="AP82" s="121"/>
      <c r="AQ82" s="121"/>
      <c r="AR82" s="121"/>
      <c r="AS82" s="121"/>
      <c r="AT82" s="121"/>
    </row>
    <row r="83" spans="1:46" ht="22.5" customHeight="1" x14ac:dyDescent="0.3">
      <c r="A83" s="267">
        <f t="shared" si="14"/>
        <v>74</v>
      </c>
      <c r="B83" s="321"/>
      <c r="C83" s="284"/>
      <c r="D83" s="285"/>
      <c r="E83" s="327"/>
      <c r="F83" s="66"/>
      <c r="G83" s="66"/>
      <c r="H83" s="329"/>
      <c r="I83" s="329"/>
      <c r="J83" s="329"/>
      <c r="K83" s="66"/>
      <c r="L83" s="329"/>
      <c r="M83" s="327"/>
      <c r="N83" s="329"/>
      <c r="O83" s="280"/>
      <c r="P83" s="281"/>
      <c r="Q83" s="280"/>
      <c r="R83" s="281"/>
      <c r="S83" s="280"/>
      <c r="T83" s="281"/>
      <c r="U83" s="280"/>
      <c r="V83" s="281"/>
      <c r="W83" s="280"/>
      <c r="X83" s="281"/>
      <c r="Y83" s="280"/>
      <c r="Z83" s="281"/>
      <c r="AA83" s="280"/>
      <c r="AB83" s="281"/>
      <c r="AC83" s="280"/>
      <c r="AD83" s="281"/>
      <c r="AE83" s="280"/>
      <c r="AF83" s="281"/>
      <c r="AG83" s="280"/>
      <c r="AH83" s="281"/>
      <c r="AI83" s="280"/>
      <c r="AJ83" s="281"/>
      <c r="AK83" s="280"/>
      <c r="AL83" s="281"/>
      <c r="AM83" s="66"/>
      <c r="AN83" s="269"/>
      <c r="AO83" s="121"/>
      <c r="AP83" s="121"/>
      <c r="AQ83" s="121"/>
      <c r="AR83" s="121"/>
      <c r="AS83" s="121"/>
      <c r="AT83" s="121"/>
    </row>
    <row r="84" spans="1:46" ht="22.5" customHeight="1" x14ac:dyDescent="0.3">
      <c r="A84" s="267">
        <f t="shared" si="14"/>
        <v>75</v>
      </c>
      <c r="B84" s="321"/>
      <c r="C84" s="284"/>
      <c r="D84" s="285"/>
      <c r="E84" s="327"/>
      <c r="F84" s="66"/>
      <c r="G84" s="66"/>
      <c r="H84" s="329"/>
      <c r="I84" s="329"/>
      <c r="J84" s="329"/>
      <c r="K84" s="66"/>
      <c r="L84" s="329"/>
      <c r="M84" s="327"/>
      <c r="N84" s="329"/>
      <c r="O84" s="280"/>
      <c r="P84" s="281"/>
      <c r="Q84" s="280"/>
      <c r="R84" s="281"/>
      <c r="S84" s="280"/>
      <c r="T84" s="281"/>
      <c r="U84" s="280"/>
      <c r="V84" s="281"/>
      <c r="W84" s="280"/>
      <c r="X84" s="281"/>
      <c r="Y84" s="280"/>
      <c r="Z84" s="281"/>
      <c r="AA84" s="280"/>
      <c r="AB84" s="281"/>
      <c r="AC84" s="280"/>
      <c r="AD84" s="281"/>
      <c r="AE84" s="280"/>
      <c r="AF84" s="281"/>
      <c r="AG84" s="280"/>
      <c r="AH84" s="281"/>
      <c r="AI84" s="280"/>
      <c r="AJ84" s="281"/>
      <c r="AK84" s="280"/>
      <c r="AL84" s="281"/>
      <c r="AM84" s="66"/>
      <c r="AN84" s="269"/>
      <c r="AO84" s="121"/>
      <c r="AP84" s="121"/>
      <c r="AQ84" s="121"/>
      <c r="AR84" s="121"/>
      <c r="AS84" s="121"/>
      <c r="AT84" s="121"/>
    </row>
    <row r="85" spans="1:46" ht="22.5" customHeight="1" x14ac:dyDescent="0.3">
      <c r="A85" s="267">
        <f t="shared" si="14"/>
        <v>76</v>
      </c>
      <c r="B85" s="321"/>
      <c r="C85" s="284"/>
      <c r="D85" s="285"/>
      <c r="E85" s="327"/>
      <c r="F85" s="66"/>
      <c r="G85" s="66"/>
      <c r="H85" s="329"/>
      <c r="I85" s="329"/>
      <c r="J85" s="329"/>
      <c r="K85" s="66"/>
      <c r="L85" s="329"/>
      <c r="M85" s="327"/>
      <c r="N85" s="329"/>
      <c r="O85" s="280"/>
      <c r="P85" s="281"/>
      <c r="Q85" s="280"/>
      <c r="R85" s="281"/>
      <c r="S85" s="280"/>
      <c r="T85" s="281"/>
      <c r="U85" s="280"/>
      <c r="V85" s="281"/>
      <c r="W85" s="280"/>
      <c r="X85" s="281"/>
      <c r="Y85" s="280"/>
      <c r="Z85" s="281"/>
      <c r="AA85" s="280"/>
      <c r="AB85" s="281"/>
      <c r="AC85" s="280"/>
      <c r="AD85" s="281"/>
      <c r="AE85" s="280"/>
      <c r="AF85" s="281"/>
      <c r="AG85" s="280"/>
      <c r="AH85" s="281"/>
      <c r="AI85" s="280"/>
      <c r="AJ85" s="281"/>
      <c r="AK85" s="280"/>
      <c r="AL85" s="281"/>
      <c r="AM85" s="66"/>
      <c r="AN85" s="269"/>
      <c r="AO85" s="121"/>
      <c r="AP85" s="121"/>
      <c r="AQ85" s="121"/>
      <c r="AR85" s="121"/>
      <c r="AS85" s="121"/>
      <c r="AT85" s="121"/>
    </row>
    <row r="86" spans="1:46" ht="22.5" customHeight="1" x14ac:dyDescent="0.3">
      <c r="A86" s="267">
        <f t="shared" si="14"/>
        <v>77</v>
      </c>
      <c r="B86" s="321"/>
      <c r="C86" s="284"/>
      <c r="D86" s="285"/>
      <c r="E86" s="327"/>
      <c r="F86" s="66"/>
      <c r="G86" s="66"/>
      <c r="H86" s="329"/>
      <c r="I86" s="329"/>
      <c r="J86" s="329"/>
      <c r="K86" s="66"/>
      <c r="L86" s="329"/>
      <c r="M86" s="327"/>
      <c r="N86" s="329"/>
      <c r="O86" s="280"/>
      <c r="P86" s="281"/>
      <c r="Q86" s="280"/>
      <c r="R86" s="281"/>
      <c r="S86" s="280"/>
      <c r="T86" s="281"/>
      <c r="U86" s="280"/>
      <c r="V86" s="281"/>
      <c r="W86" s="280"/>
      <c r="X86" s="281"/>
      <c r="Y86" s="280"/>
      <c r="Z86" s="281"/>
      <c r="AA86" s="280"/>
      <c r="AB86" s="281"/>
      <c r="AC86" s="280"/>
      <c r="AD86" s="281"/>
      <c r="AE86" s="280"/>
      <c r="AF86" s="281"/>
      <c r="AG86" s="280"/>
      <c r="AH86" s="281"/>
      <c r="AI86" s="280"/>
      <c r="AJ86" s="281"/>
      <c r="AK86" s="280"/>
      <c r="AL86" s="281"/>
      <c r="AM86" s="66"/>
      <c r="AN86" s="269"/>
      <c r="AO86" s="121"/>
      <c r="AP86" s="121"/>
      <c r="AQ86" s="121"/>
      <c r="AR86" s="121"/>
      <c r="AS86" s="121"/>
      <c r="AT86" s="121"/>
    </row>
    <row r="87" spans="1:46" ht="22.5" customHeight="1" thickBot="1" x14ac:dyDescent="0.35">
      <c r="A87" s="303">
        <f t="shared" si="14"/>
        <v>78</v>
      </c>
      <c r="B87" s="322"/>
      <c r="C87" s="304"/>
      <c r="D87" s="305"/>
      <c r="E87" s="303"/>
      <c r="F87" s="306"/>
      <c r="G87" s="306"/>
      <c r="H87" s="307"/>
      <c r="I87" s="307"/>
      <c r="J87" s="307"/>
      <c r="K87" s="306"/>
      <c r="L87" s="307"/>
      <c r="M87" s="303"/>
      <c r="N87" s="307"/>
      <c r="O87" s="280"/>
      <c r="P87" s="281"/>
      <c r="Q87" s="280"/>
      <c r="R87" s="281"/>
      <c r="S87" s="280"/>
      <c r="T87" s="281"/>
      <c r="U87" s="280"/>
      <c r="V87" s="281"/>
      <c r="W87" s="280"/>
      <c r="X87" s="281"/>
      <c r="Y87" s="280"/>
      <c r="Z87" s="281"/>
      <c r="AA87" s="280"/>
      <c r="AB87" s="281"/>
      <c r="AC87" s="280"/>
      <c r="AD87" s="281"/>
      <c r="AE87" s="280"/>
      <c r="AF87" s="281"/>
      <c r="AG87" s="280"/>
      <c r="AH87" s="281"/>
      <c r="AI87" s="280"/>
      <c r="AJ87" s="281"/>
      <c r="AK87" s="280"/>
      <c r="AL87" s="281"/>
      <c r="AM87" s="66"/>
      <c r="AN87" s="269"/>
      <c r="AO87" s="308"/>
      <c r="AP87" s="308"/>
      <c r="AQ87" s="308"/>
      <c r="AR87" s="308"/>
      <c r="AS87" s="308"/>
      <c r="AT87" s="308"/>
    </row>
    <row r="88" spans="1:46" s="252" customFormat="1" ht="22.5" customHeight="1" thickTop="1" thickBot="1" x14ac:dyDescent="0.35">
      <c r="A88" s="263"/>
      <c r="B88" s="264"/>
      <c r="C88" s="264"/>
      <c r="D88" s="264"/>
      <c r="E88" s="264"/>
      <c r="F88" s="264"/>
      <c r="G88" s="264"/>
      <c r="H88" s="264"/>
      <c r="I88" s="264"/>
      <c r="J88" s="264"/>
      <c r="K88" s="264"/>
      <c r="L88" s="264"/>
      <c r="M88" s="264"/>
      <c r="N88" s="264"/>
      <c r="O88" s="265"/>
      <c r="P88" s="265"/>
      <c r="Q88" s="265"/>
      <c r="R88" s="265"/>
      <c r="S88" s="265"/>
      <c r="T88" s="265"/>
      <c r="U88" s="265"/>
      <c r="V88" s="265"/>
      <c r="W88" s="265"/>
      <c r="X88" s="265"/>
      <c r="Y88" s="265"/>
      <c r="Z88" s="265"/>
      <c r="AA88" s="265"/>
      <c r="AB88" s="265"/>
      <c r="AC88" s="265"/>
      <c r="AD88" s="265"/>
      <c r="AE88" s="265"/>
      <c r="AF88" s="265"/>
      <c r="AG88" s="265"/>
      <c r="AH88" s="265"/>
      <c r="AI88" s="265"/>
      <c r="AJ88" s="265"/>
      <c r="AK88" s="265"/>
      <c r="AL88" s="265"/>
      <c r="AM88" s="264"/>
      <c r="AN88" s="264"/>
      <c r="AO88" s="264"/>
      <c r="AP88" s="264"/>
      <c r="AQ88" s="264"/>
      <c r="AR88" s="264"/>
      <c r="AS88" s="264"/>
      <c r="AT88" s="264"/>
    </row>
    <row r="89" spans="1:46" ht="22.5" customHeight="1" thickTop="1" x14ac:dyDescent="0.3">
      <c r="A89" s="253" t="s">
        <v>570</v>
      </c>
      <c r="E89">
        <f>COUNTA($B$8:$B$87)-COUNTA(E8:E87)</f>
        <v>47</v>
      </c>
      <c r="H89" s="236">
        <f>SUMIF($E$8:$E$87,"",H8:H87)</f>
        <v>6370000</v>
      </c>
      <c r="I89" s="236">
        <f>SUMIF($E$8:$E$87,"",I8:I87)</f>
        <v>637000</v>
      </c>
      <c r="J89" s="236">
        <f>SUMIF($E$8:$E$87,"",J8:J87)</f>
        <v>7007000</v>
      </c>
      <c r="O89" s="262"/>
      <c r="P89" s="262"/>
      <c r="Q89" s="262"/>
      <c r="R89" s="262"/>
      <c r="S89" s="262"/>
      <c r="T89" s="262"/>
      <c r="U89" s="262"/>
      <c r="V89" s="262"/>
      <c r="W89" s="262"/>
      <c r="X89" s="262"/>
      <c r="Y89" s="262"/>
      <c r="Z89" s="262"/>
      <c r="AA89" s="262"/>
      <c r="AB89" s="262"/>
      <c r="AN89" s="252"/>
    </row>
    <row r="90" spans="1:46" x14ac:dyDescent="0.3">
      <c r="A90" s="254"/>
    </row>
    <row r="91" spans="1:46" x14ac:dyDescent="0.3">
      <c r="A91" s="254"/>
    </row>
    <row r="92" spans="1:46" x14ac:dyDescent="0.3">
      <c r="A92" s="254"/>
    </row>
    <row r="93" spans="1:46" x14ac:dyDescent="0.3">
      <c r="A93" s="254"/>
    </row>
    <row r="94" spans="1:46" x14ac:dyDescent="0.3">
      <c r="A94" s="254"/>
    </row>
    <row r="95" spans="1:46" x14ac:dyDescent="0.3">
      <c r="A95" s="254"/>
    </row>
    <row r="96" spans="1:46" x14ac:dyDescent="0.3">
      <c r="A96" s="254"/>
    </row>
    <row r="97" spans="1:1" x14ac:dyDescent="0.3">
      <c r="A97" s="254"/>
    </row>
    <row r="98" spans="1:1" x14ac:dyDescent="0.3">
      <c r="A98" s="254"/>
    </row>
    <row r="99" spans="1:1" x14ac:dyDescent="0.3">
      <c r="A99" s="254"/>
    </row>
  </sheetData>
  <autoFilter ref="A7:AT87" xr:uid="{99EBC53D-349D-4D84-AAC1-3B0A7D1330DF}">
    <sortState xmlns:xlrd2="http://schemas.microsoft.com/office/spreadsheetml/2017/richdata2" ref="A8:AT48">
      <sortCondition ref="L7:L87"/>
    </sortState>
  </autoFilter>
  <mergeCells count="23">
    <mergeCell ref="AO6:AP6"/>
    <mergeCell ref="K6:L6"/>
    <mergeCell ref="AM2:AN2"/>
    <mergeCell ref="AM3:AN3"/>
    <mergeCell ref="A5:N5"/>
    <mergeCell ref="AM5:AT5"/>
    <mergeCell ref="H6:J6"/>
    <mergeCell ref="E6:G6"/>
    <mergeCell ref="AK6:AL6"/>
    <mergeCell ref="O5:AL5"/>
    <mergeCell ref="AM6:AN6"/>
    <mergeCell ref="Y6:Z6"/>
    <mergeCell ref="AA6:AB6"/>
    <mergeCell ref="AC6:AD6"/>
    <mergeCell ref="AE6:AF6"/>
    <mergeCell ref="AG6:AH6"/>
    <mergeCell ref="B6:D6"/>
    <mergeCell ref="AI6:AJ6"/>
    <mergeCell ref="O6:P6"/>
    <mergeCell ref="Q6:R6"/>
    <mergeCell ref="S6:T6"/>
    <mergeCell ref="U6:V6"/>
    <mergeCell ref="W6:X6"/>
  </mergeCells>
  <phoneticPr fontId="13" type="noConversion"/>
  <conditionalFormatting sqref="D8:D34 D36:D38">
    <cfRule type="expression" dxfId="25" priority="22">
      <formula>LEFT($C8)=LEFT($D8)</formula>
    </cfRule>
  </conditionalFormatting>
  <conditionalFormatting sqref="D39:D50 D63:D87 D52:D60">
    <cfRule type="expression" dxfId="24" priority="21">
      <formula>LEFT($C39)=LEFT($D39)</formula>
    </cfRule>
  </conditionalFormatting>
  <conditionalFormatting sqref="AN8:AN60 AN62:AN87">
    <cfRule type="expression" dxfId="23" priority="18">
      <formula>AN8="월"</formula>
    </cfRule>
    <cfRule type="expression" dxfId="22" priority="19">
      <formula>AN8="일"</formula>
    </cfRule>
    <cfRule type="expression" dxfId="21" priority="20">
      <formula>AN8="토"</formula>
    </cfRule>
  </conditionalFormatting>
  <conditionalFormatting sqref="J8:J34 J63:J87 J52:J60 J36:J50">
    <cfRule type="dataBar" priority="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{7B4FD18A-BDD0-40F5-86FD-8E3895DA2AB3}</x14:id>
        </ext>
      </extLst>
    </cfRule>
  </conditionalFormatting>
  <conditionalFormatting sqref="D61">
    <cfRule type="expression" dxfId="20" priority="16">
      <formula>LEFT($C61)=LEFT($D61)</formula>
    </cfRule>
  </conditionalFormatting>
  <conditionalFormatting sqref="AN61">
    <cfRule type="expression" dxfId="19" priority="13">
      <formula>AN61="월"</formula>
    </cfRule>
    <cfRule type="expression" dxfId="18" priority="14">
      <formula>AN61="일"</formula>
    </cfRule>
    <cfRule type="expression" dxfId="17" priority="15">
      <formula>AN61="토"</formula>
    </cfRule>
  </conditionalFormatting>
  <conditionalFormatting sqref="J61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{3556DB88-157E-4F76-93D8-46BDB7C5F020}</x14:id>
        </ext>
      </extLst>
    </cfRule>
  </conditionalFormatting>
  <conditionalFormatting sqref="D62">
    <cfRule type="expression" dxfId="16" priority="10">
      <formula>LEFT($C62)=LEFT($D62)</formula>
    </cfRule>
  </conditionalFormatting>
  <conditionalFormatting sqref="J6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{EB8673CB-D46F-45ED-8E42-33F94C33A709}</x14:id>
        </ext>
      </extLst>
    </cfRule>
  </conditionalFormatting>
  <conditionalFormatting sqref="D51">
    <cfRule type="expression" dxfId="15" priority="8">
      <formula>LEFT($C51)=LEFT($D51)</formula>
    </cfRule>
  </conditionalFormatting>
  <conditionalFormatting sqref="J51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{8B17C33D-7515-4EB8-B582-F3EBC6537CE0}</x14:id>
        </ext>
      </extLst>
    </cfRule>
  </conditionalFormatting>
  <conditionalFormatting sqref="J35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{F2BC703E-9D79-4AEE-A9F4-D8E7B300F353}</x14:id>
        </ext>
      </extLst>
    </cfRule>
  </conditionalFormatting>
  <conditionalFormatting sqref="D35">
    <cfRule type="expression" dxfId="14" priority="2">
      <formula>LEFT($C35)=LEFT($D35)</formula>
    </cfRule>
  </conditionalFormatting>
  <conditionalFormatting sqref="J8:J54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{FE09475A-2827-4DC4-81A6-40761E527F70}</x14:id>
        </ext>
      </extLst>
    </cfRule>
  </conditionalFormatting>
  <pageMargins left="0.25" right="0.25" top="0.75" bottom="0.75" header="0.3" footer="0.3"/>
  <pageSetup paperSize="9" scale="2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B4FD18A-BDD0-40F5-86FD-8E3895DA2AB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J8:J34 J63:J87 J52:J60 J36:J50</xm:sqref>
        </x14:conditionalFormatting>
        <x14:conditionalFormatting xmlns:xm="http://schemas.microsoft.com/office/excel/2006/main">
          <x14:cfRule type="dataBar" id="{3556DB88-157E-4F76-93D8-46BDB7C5F02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J61</xm:sqref>
        </x14:conditionalFormatting>
        <x14:conditionalFormatting xmlns:xm="http://schemas.microsoft.com/office/excel/2006/main">
          <x14:cfRule type="dataBar" id="{EB8673CB-D46F-45ED-8E42-33F94C33A7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J62</xm:sqref>
        </x14:conditionalFormatting>
        <x14:conditionalFormatting xmlns:xm="http://schemas.microsoft.com/office/excel/2006/main">
          <x14:cfRule type="dataBar" id="{8B17C33D-7515-4EB8-B582-F3EBC6537C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J51</xm:sqref>
        </x14:conditionalFormatting>
        <x14:conditionalFormatting xmlns:xm="http://schemas.microsoft.com/office/excel/2006/main">
          <x14:cfRule type="dataBar" id="{F2BC703E-9D79-4AEE-A9F4-D8E7B300F3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J35</xm:sqref>
        </x14:conditionalFormatting>
        <x14:conditionalFormatting xmlns:xm="http://schemas.microsoft.com/office/excel/2006/main">
          <x14:cfRule type="dataBar" id="{FE09475A-2827-4DC4-81A6-40761E527F7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J8:J54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6CF53-EA33-43E1-BAA3-AF41CEAA9F2E}">
  <sheetPr codeName="Sheet9">
    <pageSetUpPr fitToPage="1"/>
  </sheetPr>
  <dimension ref="B1:X114"/>
  <sheetViews>
    <sheetView view="pageBreakPreview" topLeftCell="A36" zoomScale="70" zoomScaleNormal="100" zoomScaleSheetLayoutView="70" workbookViewId="0">
      <selection activeCell="B50" sqref="A50:XFD51"/>
    </sheetView>
  </sheetViews>
  <sheetFormatPr defaultRowHeight="16.5" x14ac:dyDescent="0.3"/>
  <cols>
    <col min="1" max="1" width="2.375" customWidth="1"/>
    <col min="2" max="2" width="19.5" customWidth="1"/>
    <col min="3" max="3" width="15.375" bestFit="1" customWidth="1"/>
    <col min="4" max="4" width="12.625" style="161" bestFit="1" customWidth="1"/>
    <col min="5" max="6" width="11.125" bestFit="1" customWidth="1"/>
    <col min="7" max="7" width="12.375" bestFit="1" customWidth="1"/>
    <col min="8" max="8" width="10.5" style="161" bestFit="1" customWidth="1"/>
    <col min="9" max="9" width="12.375" style="161" bestFit="1" customWidth="1"/>
    <col min="11" max="11" width="12.125" style="162" customWidth="1"/>
    <col min="12" max="12" width="9" style="161"/>
    <col min="13" max="24" width="10.625" style="163" customWidth="1"/>
  </cols>
  <sheetData>
    <row r="1" spans="2:24" s="161" customFormat="1" x14ac:dyDescent="0.3">
      <c r="K1" s="162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</row>
    <row r="2" spans="2:24" ht="16.5" customHeight="1" x14ac:dyDescent="0.3">
      <c r="B2" s="501" t="s">
        <v>410</v>
      </c>
      <c r="C2" s="166" t="s">
        <v>454</v>
      </c>
      <c r="D2" s="167" t="s">
        <v>471</v>
      </c>
      <c r="E2" s="500" t="s">
        <v>440</v>
      </c>
      <c r="F2" s="501"/>
      <c r="G2" s="504" t="s">
        <v>463</v>
      </c>
      <c r="H2" s="505"/>
      <c r="I2" s="506"/>
      <c r="J2" s="500" t="s">
        <v>457</v>
      </c>
      <c r="K2" s="507" t="s">
        <v>470</v>
      </c>
      <c r="L2" s="498" t="s">
        <v>461</v>
      </c>
      <c r="M2" s="499"/>
      <c r="N2" s="499"/>
      <c r="O2" s="499"/>
      <c r="P2" s="499"/>
      <c r="Q2" s="499"/>
      <c r="R2" s="499"/>
      <c r="S2" s="499"/>
      <c r="T2" s="499"/>
      <c r="U2" s="499"/>
      <c r="V2" s="499"/>
      <c r="W2" s="499"/>
      <c r="X2" s="499"/>
    </row>
    <row r="3" spans="2:24" ht="17.25" thickBot="1" x14ac:dyDescent="0.35">
      <c r="B3" s="502"/>
      <c r="C3" s="170" t="s">
        <v>472</v>
      </c>
      <c r="D3" s="171" t="s">
        <v>473</v>
      </c>
      <c r="E3" s="172" t="s">
        <v>455</v>
      </c>
      <c r="F3" s="173" t="s">
        <v>456</v>
      </c>
      <c r="G3" s="170" t="s">
        <v>364</v>
      </c>
      <c r="H3" s="174" t="s">
        <v>458</v>
      </c>
      <c r="I3" s="171" t="s">
        <v>462</v>
      </c>
      <c r="J3" s="503"/>
      <c r="K3" s="508"/>
      <c r="L3" s="170" t="s">
        <v>415</v>
      </c>
      <c r="M3" s="175">
        <v>1</v>
      </c>
      <c r="N3" s="175">
        <v>2</v>
      </c>
      <c r="O3" s="175">
        <v>3</v>
      </c>
      <c r="P3" s="175">
        <v>4</v>
      </c>
      <c r="Q3" s="175">
        <v>5</v>
      </c>
      <c r="R3" s="175">
        <v>6</v>
      </c>
      <c r="S3" s="175">
        <v>7</v>
      </c>
      <c r="T3" s="175">
        <v>8</v>
      </c>
      <c r="U3" s="175">
        <v>9</v>
      </c>
      <c r="V3" s="175">
        <v>10</v>
      </c>
      <c r="W3" s="175">
        <v>11</v>
      </c>
      <c r="X3" s="175">
        <v>12</v>
      </c>
    </row>
    <row r="4" spans="2:24" ht="17.25" thickTop="1" x14ac:dyDescent="0.3">
      <c r="B4" s="475" t="s">
        <v>547</v>
      </c>
      <c r="C4" s="207">
        <v>2238266222</v>
      </c>
      <c r="D4" s="208" t="s">
        <v>465</v>
      </c>
      <c r="E4" s="490"/>
      <c r="F4" s="479">
        <v>44043</v>
      </c>
      <c r="G4" s="480"/>
      <c r="H4" s="482"/>
      <c r="I4" s="488"/>
      <c r="J4" s="484"/>
      <c r="K4" s="509" t="s">
        <v>548</v>
      </c>
      <c r="L4" s="181" t="s">
        <v>459</v>
      </c>
      <c r="M4" s="192">
        <v>43832</v>
      </c>
      <c r="N4" s="192">
        <v>43860</v>
      </c>
      <c r="O4" s="192">
        <v>43890</v>
      </c>
      <c r="P4" s="192">
        <v>43921</v>
      </c>
      <c r="Q4" s="192">
        <v>43950</v>
      </c>
      <c r="R4" s="192">
        <v>43980</v>
      </c>
      <c r="S4" s="192">
        <v>44012</v>
      </c>
      <c r="T4" s="192">
        <v>44043</v>
      </c>
      <c r="U4" s="202"/>
      <c r="V4" s="202"/>
      <c r="W4" s="202"/>
      <c r="X4" s="202"/>
    </row>
    <row r="5" spans="2:24" ht="17.25" thickBot="1" x14ac:dyDescent="0.35">
      <c r="B5" s="476"/>
      <c r="C5" s="209">
        <v>22382662220</v>
      </c>
      <c r="D5" s="210">
        <v>25</v>
      </c>
      <c r="E5" s="491"/>
      <c r="F5" s="476"/>
      <c r="G5" s="481"/>
      <c r="H5" s="483"/>
      <c r="I5" s="489"/>
      <c r="J5" s="485"/>
      <c r="K5" s="510"/>
      <c r="L5" s="184" t="s">
        <v>460</v>
      </c>
      <c r="M5" s="191">
        <v>43832</v>
      </c>
      <c r="N5" s="191">
        <v>43864</v>
      </c>
      <c r="O5" s="191">
        <v>43892</v>
      </c>
      <c r="P5" s="191">
        <v>43922</v>
      </c>
      <c r="Q5" s="191">
        <v>43956</v>
      </c>
      <c r="R5" s="191">
        <v>43982</v>
      </c>
      <c r="S5" s="191">
        <v>44013</v>
      </c>
      <c r="T5" s="191">
        <v>44043</v>
      </c>
      <c r="U5" s="206"/>
      <c r="V5" s="206"/>
      <c r="W5" s="206"/>
      <c r="X5" s="206"/>
    </row>
    <row r="6" spans="2:24" ht="17.25" thickTop="1" x14ac:dyDescent="0.3">
      <c r="B6" s="461" t="s">
        <v>20</v>
      </c>
      <c r="C6" s="179">
        <v>2108138456</v>
      </c>
      <c r="D6" s="180" t="s">
        <v>465</v>
      </c>
      <c r="E6" s="463">
        <v>43108</v>
      </c>
      <c r="F6" s="465">
        <v>43465</v>
      </c>
      <c r="G6" s="466">
        <v>100000</v>
      </c>
      <c r="H6" s="457">
        <f t="shared" ref="H6" si="0">G6*0.1</f>
        <v>10000</v>
      </c>
      <c r="I6" s="451">
        <v>5</v>
      </c>
      <c r="J6" s="469" t="s">
        <v>70</v>
      </c>
      <c r="K6" s="455"/>
      <c r="L6" s="181" t="s">
        <v>459</v>
      </c>
      <c r="M6" s="192">
        <v>43832</v>
      </c>
      <c r="N6" s="192">
        <v>43860</v>
      </c>
      <c r="O6" s="192">
        <v>43890</v>
      </c>
      <c r="P6" s="192">
        <v>43921</v>
      </c>
      <c r="Q6" s="192">
        <v>43950</v>
      </c>
      <c r="R6" s="192">
        <v>43980</v>
      </c>
      <c r="S6" s="192">
        <v>44012</v>
      </c>
      <c r="T6" s="192">
        <v>44043</v>
      </c>
      <c r="U6" s="192">
        <v>44074</v>
      </c>
      <c r="V6" s="192">
        <v>44104</v>
      </c>
      <c r="W6" s="192"/>
      <c r="X6" s="192"/>
    </row>
    <row r="7" spans="2:24" ht="17.25" thickBot="1" x14ac:dyDescent="0.35">
      <c r="B7" s="462"/>
      <c r="C7" s="182">
        <v>21081384560</v>
      </c>
      <c r="D7" s="183">
        <v>7</v>
      </c>
      <c r="E7" s="464"/>
      <c r="F7" s="462"/>
      <c r="G7" s="467"/>
      <c r="H7" s="458"/>
      <c r="I7" s="468"/>
      <c r="J7" s="470"/>
      <c r="K7" s="513"/>
      <c r="L7" s="184" t="s">
        <v>460</v>
      </c>
      <c r="M7" s="191">
        <v>43838</v>
      </c>
      <c r="N7" s="191">
        <v>43868</v>
      </c>
      <c r="O7" s="191">
        <v>43899</v>
      </c>
      <c r="P7" s="191">
        <v>43929</v>
      </c>
      <c r="Q7" s="191">
        <v>43959</v>
      </c>
      <c r="R7" s="191">
        <v>43990</v>
      </c>
      <c r="S7" s="191">
        <v>44020</v>
      </c>
      <c r="T7" s="191">
        <v>44050</v>
      </c>
      <c r="U7" s="191">
        <v>44083</v>
      </c>
      <c r="V7" s="191"/>
      <c r="W7" s="191"/>
      <c r="X7" s="191"/>
    </row>
    <row r="8" spans="2:24" ht="17.25" thickTop="1" x14ac:dyDescent="0.3">
      <c r="B8" s="461" t="s">
        <v>12</v>
      </c>
      <c r="C8" s="179">
        <v>1104334968</v>
      </c>
      <c r="D8" s="180" t="s">
        <v>465</v>
      </c>
      <c r="E8" s="463">
        <v>43244</v>
      </c>
      <c r="F8" s="465">
        <v>43608</v>
      </c>
      <c r="G8" s="466">
        <v>100000</v>
      </c>
      <c r="H8" s="457">
        <f t="shared" ref="H8" si="1">G8*0.1</f>
        <v>10000</v>
      </c>
      <c r="I8" s="451">
        <v>5</v>
      </c>
      <c r="J8" s="469" t="s">
        <v>70</v>
      </c>
      <c r="K8" s="459"/>
      <c r="L8" s="181" t="s">
        <v>459</v>
      </c>
      <c r="M8" s="192">
        <v>43832</v>
      </c>
      <c r="N8" s="192">
        <v>43860</v>
      </c>
      <c r="O8" s="192">
        <v>43890</v>
      </c>
      <c r="P8" s="192">
        <v>43921</v>
      </c>
      <c r="Q8" s="192">
        <v>43950</v>
      </c>
      <c r="R8" s="192">
        <v>43980</v>
      </c>
      <c r="S8" s="192">
        <v>44012</v>
      </c>
      <c r="T8" s="192">
        <v>44043</v>
      </c>
      <c r="U8" s="192">
        <v>44074</v>
      </c>
      <c r="V8" s="192">
        <v>44104</v>
      </c>
      <c r="W8" s="192"/>
      <c r="X8" s="192"/>
    </row>
    <row r="9" spans="2:24" ht="17.25" thickBot="1" x14ac:dyDescent="0.35">
      <c r="B9" s="462"/>
      <c r="C9" s="182">
        <v>11043349680</v>
      </c>
      <c r="D9" s="183">
        <v>5</v>
      </c>
      <c r="E9" s="464"/>
      <c r="F9" s="462"/>
      <c r="G9" s="467"/>
      <c r="H9" s="458"/>
      <c r="I9" s="468"/>
      <c r="J9" s="470"/>
      <c r="K9" s="460"/>
      <c r="L9" s="184" t="s">
        <v>460</v>
      </c>
      <c r="M9" s="191">
        <v>43838</v>
      </c>
      <c r="N9" s="191">
        <v>43868</v>
      </c>
      <c r="O9" s="191">
        <v>43899</v>
      </c>
      <c r="P9" s="191">
        <v>43929</v>
      </c>
      <c r="Q9" s="191">
        <v>43959</v>
      </c>
      <c r="R9" s="191">
        <v>43990</v>
      </c>
      <c r="S9" s="191">
        <v>44020</v>
      </c>
      <c r="T9" s="191">
        <v>44050</v>
      </c>
      <c r="U9" s="191">
        <v>44083</v>
      </c>
      <c r="V9" s="191"/>
      <c r="W9" s="191"/>
      <c r="X9" s="191"/>
    </row>
    <row r="10" spans="2:24" ht="17.25" customHeight="1" thickTop="1" x14ac:dyDescent="0.3">
      <c r="B10" s="461" t="s">
        <v>13</v>
      </c>
      <c r="C10" s="179">
        <v>7318100137</v>
      </c>
      <c r="D10" s="180" t="s">
        <v>465</v>
      </c>
      <c r="E10" s="463">
        <v>43282</v>
      </c>
      <c r="F10" s="465">
        <v>43646</v>
      </c>
      <c r="G10" s="466">
        <v>100000</v>
      </c>
      <c r="H10" s="457">
        <f t="shared" ref="H10" si="2">G10*0.1</f>
        <v>10000</v>
      </c>
      <c r="I10" s="451">
        <v>5</v>
      </c>
      <c r="J10" s="469" t="s">
        <v>70</v>
      </c>
      <c r="K10" s="459"/>
      <c r="L10" s="181" t="s">
        <v>459</v>
      </c>
      <c r="M10" s="192">
        <v>43832</v>
      </c>
      <c r="N10" s="192">
        <v>43860</v>
      </c>
      <c r="O10" s="192">
        <v>43890</v>
      </c>
      <c r="P10" s="192">
        <v>43921</v>
      </c>
      <c r="Q10" s="192">
        <v>43950</v>
      </c>
      <c r="R10" s="192">
        <v>43980</v>
      </c>
      <c r="S10" s="192">
        <v>44012</v>
      </c>
      <c r="T10" s="192">
        <v>44043</v>
      </c>
      <c r="U10" s="192">
        <v>44074</v>
      </c>
      <c r="V10" s="192">
        <v>44104</v>
      </c>
      <c r="W10" s="192"/>
      <c r="X10" s="192"/>
    </row>
    <row r="11" spans="2:24" ht="17.25" thickBot="1" x14ac:dyDescent="0.35">
      <c r="B11" s="462"/>
      <c r="C11" s="182">
        <v>73181001370</v>
      </c>
      <c r="D11" s="183">
        <v>5</v>
      </c>
      <c r="E11" s="464"/>
      <c r="F11" s="462"/>
      <c r="G11" s="467"/>
      <c r="H11" s="458"/>
      <c r="I11" s="468"/>
      <c r="J11" s="470"/>
      <c r="K11" s="460"/>
      <c r="L11" s="184" t="s">
        <v>460</v>
      </c>
      <c r="M11" s="191">
        <v>43838</v>
      </c>
      <c r="N11" s="191">
        <v>43868</v>
      </c>
      <c r="O11" s="191">
        <v>43899</v>
      </c>
      <c r="P11" s="191">
        <v>43929</v>
      </c>
      <c r="Q11" s="191">
        <v>43959</v>
      </c>
      <c r="R11" s="191">
        <v>43990</v>
      </c>
      <c r="S11" s="191">
        <v>44020</v>
      </c>
      <c r="T11" s="191">
        <v>44050</v>
      </c>
      <c r="U11" s="191">
        <v>44083</v>
      </c>
      <c r="V11" s="191"/>
      <c r="W11" s="191"/>
      <c r="X11" s="191"/>
    </row>
    <row r="12" spans="2:24" ht="17.25" thickTop="1" x14ac:dyDescent="0.3">
      <c r="B12" s="461" t="s">
        <v>475</v>
      </c>
      <c r="C12" s="179">
        <v>1244716365</v>
      </c>
      <c r="D12" s="180" t="s">
        <v>465</v>
      </c>
      <c r="E12" s="463">
        <v>43556</v>
      </c>
      <c r="F12" s="465">
        <v>43921</v>
      </c>
      <c r="G12" s="466">
        <v>100000</v>
      </c>
      <c r="H12" s="457">
        <f t="shared" ref="H12" si="3">G12*0.1</f>
        <v>10000</v>
      </c>
      <c r="I12" s="451">
        <v>5</v>
      </c>
      <c r="J12" s="469" t="s">
        <v>70</v>
      </c>
      <c r="K12" s="459"/>
      <c r="L12" s="181" t="s">
        <v>459</v>
      </c>
      <c r="M12" s="192">
        <v>43832</v>
      </c>
      <c r="N12" s="192">
        <v>43860</v>
      </c>
      <c r="O12" s="192">
        <v>43890</v>
      </c>
      <c r="P12" s="192">
        <v>43921</v>
      </c>
      <c r="Q12" s="192">
        <v>43950</v>
      </c>
      <c r="R12" s="192">
        <v>43980</v>
      </c>
      <c r="S12" s="192">
        <v>44012</v>
      </c>
      <c r="T12" s="192">
        <v>44043</v>
      </c>
      <c r="U12" s="192">
        <v>44074</v>
      </c>
      <c r="V12" s="192">
        <v>44104</v>
      </c>
      <c r="W12" s="192"/>
      <c r="X12" s="192"/>
    </row>
    <row r="13" spans="2:24" ht="17.25" thickBot="1" x14ac:dyDescent="0.35">
      <c r="B13" s="462"/>
      <c r="C13" s="182">
        <v>12447163650</v>
      </c>
      <c r="D13" s="183">
        <v>10</v>
      </c>
      <c r="E13" s="464"/>
      <c r="F13" s="462"/>
      <c r="G13" s="467"/>
      <c r="H13" s="458"/>
      <c r="I13" s="468"/>
      <c r="J13" s="470"/>
      <c r="K13" s="460"/>
      <c r="L13" s="184" t="s">
        <v>460</v>
      </c>
      <c r="M13" s="191">
        <v>43838</v>
      </c>
      <c r="N13" s="191">
        <v>43868</v>
      </c>
      <c r="O13" s="191">
        <v>43899</v>
      </c>
      <c r="P13" s="191">
        <v>43929</v>
      </c>
      <c r="Q13" s="191">
        <v>43959</v>
      </c>
      <c r="R13" s="191">
        <v>43990</v>
      </c>
      <c r="S13" s="191">
        <v>44020</v>
      </c>
      <c r="T13" s="191">
        <v>44050</v>
      </c>
      <c r="U13" s="191">
        <v>44083</v>
      </c>
      <c r="V13" s="191"/>
      <c r="W13" s="191"/>
      <c r="X13" s="191"/>
    </row>
    <row r="14" spans="2:24" ht="17.25" thickTop="1" x14ac:dyDescent="0.3">
      <c r="B14" s="461" t="s">
        <v>476</v>
      </c>
      <c r="C14" s="179">
        <v>1329239734</v>
      </c>
      <c r="D14" s="180" t="s">
        <v>465</v>
      </c>
      <c r="E14" s="463">
        <v>43600</v>
      </c>
      <c r="F14" s="465">
        <v>43965</v>
      </c>
      <c r="G14" s="466">
        <v>400000</v>
      </c>
      <c r="H14" s="457">
        <f t="shared" ref="H14" si="4">G14*0.1</f>
        <v>40000</v>
      </c>
      <c r="I14" s="451">
        <v>5</v>
      </c>
      <c r="J14" s="469" t="s">
        <v>70</v>
      </c>
      <c r="K14" s="459"/>
      <c r="L14" s="181" t="s">
        <v>459</v>
      </c>
      <c r="M14" s="192">
        <v>43832</v>
      </c>
      <c r="N14" s="192">
        <v>43860</v>
      </c>
      <c r="O14" s="192">
        <v>43890</v>
      </c>
      <c r="P14" s="192">
        <v>43921</v>
      </c>
      <c r="Q14" s="192">
        <v>43950</v>
      </c>
      <c r="R14" s="192">
        <v>43980</v>
      </c>
      <c r="S14" s="192">
        <v>44012</v>
      </c>
      <c r="T14" s="192">
        <v>44043</v>
      </c>
      <c r="U14" s="192">
        <v>44074</v>
      </c>
      <c r="V14" s="192">
        <v>44104</v>
      </c>
      <c r="W14" s="192"/>
      <c r="X14" s="192"/>
    </row>
    <row r="15" spans="2:24" ht="17.25" thickBot="1" x14ac:dyDescent="0.35">
      <c r="B15" s="462"/>
      <c r="C15" s="182">
        <v>13292397340</v>
      </c>
      <c r="D15" s="183">
        <v>10</v>
      </c>
      <c r="E15" s="464"/>
      <c r="F15" s="462"/>
      <c r="G15" s="467"/>
      <c r="H15" s="458"/>
      <c r="I15" s="468"/>
      <c r="J15" s="470"/>
      <c r="K15" s="460"/>
      <c r="L15" s="184" t="s">
        <v>460</v>
      </c>
      <c r="M15" s="191">
        <v>43838</v>
      </c>
      <c r="N15" s="191">
        <v>43868</v>
      </c>
      <c r="O15" s="191">
        <v>43899</v>
      </c>
      <c r="P15" s="199">
        <v>43943</v>
      </c>
      <c r="Q15" s="191">
        <v>43959</v>
      </c>
      <c r="R15" s="191">
        <v>43990</v>
      </c>
      <c r="S15" s="191">
        <v>44020</v>
      </c>
      <c r="T15" s="191">
        <v>44050</v>
      </c>
      <c r="U15" s="191">
        <v>44083</v>
      </c>
      <c r="V15" s="191"/>
      <c r="W15" s="191"/>
      <c r="X15" s="191"/>
    </row>
    <row r="16" spans="2:24" s="187" customFormat="1" ht="17.25" thickTop="1" x14ac:dyDescent="0.3">
      <c r="B16" s="461" t="s">
        <v>488</v>
      </c>
      <c r="C16" s="179">
        <v>6560501321</v>
      </c>
      <c r="D16" s="180" t="s">
        <v>465</v>
      </c>
      <c r="E16" s="463">
        <v>43783</v>
      </c>
      <c r="F16" s="465">
        <v>44148</v>
      </c>
      <c r="G16" s="466">
        <v>100000</v>
      </c>
      <c r="H16" s="457">
        <f t="shared" ref="H16" si="5">G16*0.1</f>
        <v>10000</v>
      </c>
      <c r="I16" s="451">
        <v>10</v>
      </c>
      <c r="J16" s="469" t="s">
        <v>70</v>
      </c>
      <c r="K16" s="459"/>
      <c r="L16" s="181" t="s">
        <v>459</v>
      </c>
      <c r="M16" s="192">
        <v>43832</v>
      </c>
      <c r="N16" s="192">
        <v>43860</v>
      </c>
      <c r="O16" s="192">
        <v>43890</v>
      </c>
      <c r="P16" s="192">
        <v>43921</v>
      </c>
      <c r="Q16" s="192">
        <v>43950</v>
      </c>
      <c r="R16" s="192">
        <v>43980</v>
      </c>
      <c r="S16" s="192">
        <v>44012</v>
      </c>
      <c r="T16" s="192">
        <v>44043</v>
      </c>
      <c r="U16" s="192">
        <v>44074</v>
      </c>
      <c r="V16" s="192">
        <v>44104</v>
      </c>
      <c r="W16" s="192"/>
      <c r="X16" s="192"/>
    </row>
    <row r="17" spans="2:24" s="187" customFormat="1" ht="17.25" thickBot="1" x14ac:dyDescent="0.35">
      <c r="B17" s="462"/>
      <c r="C17" s="182">
        <v>65605123210</v>
      </c>
      <c r="D17" s="183">
        <v>10</v>
      </c>
      <c r="E17" s="464"/>
      <c r="F17" s="462"/>
      <c r="G17" s="467"/>
      <c r="H17" s="458"/>
      <c r="I17" s="468"/>
      <c r="J17" s="470"/>
      <c r="K17" s="460"/>
      <c r="L17" s="184" t="s">
        <v>460</v>
      </c>
      <c r="M17" s="191">
        <v>43843</v>
      </c>
      <c r="N17" s="191">
        <v>43873</v>
      </c>
      <c r="O17" s="191">
        <v>43902</v>
      </c>
      <c r="P17" s="191">
        <v>43934</v>
      </c>
      <c r="Q17" s="191">
        <v>43964</v>
      </c>
      <c r="R17" s="191">
        <v>43994</v>
      </c>
      <c r="S17" s="191">
        <v>44025</v>
      </c>
      <c r="T17" s="191">
        <v>44055</v>
      </c>
      <c r="U17" s="191">
        <v>44088</v>
      </c>
      <c r="V17" s="191"/>
      <c r="W17" s="191"/>
      <c r="X17" s="191"/>
    </row>
    <row r="18" spans="2:24" ht="17.25" thickTop="1" x14ac:dyDescent="0.3">
      <c r="B18" s="461" t="s">
        <v>14</v>
      </c>
      <c r="C18" s="179">
        <v>1199601081</v>
      </c>
      <c r="D18" s="180" t="s">
        <v>465</v>
      </c>
      <c r="E18" s="463">
        <v>42887</v>
      </c>
      <c r="F18" s="465">
        <v>43616</v>
      </c>
      <c r="G18" s="466">
        <v>300000</v>
      </c>
      <c r="H18" s="457">
        <f t="shared" ref="H18" si="6">G18*0.1</f>
        <v>30000</v>
      </c>
      <c r="I18" s="451">
        <v>10</v>
      </c>
      <c r="J18" s="473" t="s">
        <v>474</v>
      </c>
      <c r="K18" s="514" t="s">
        <v>499</v>
      </c>
      <c r="L18" s="181" t="s">
        <v>459</v>
      </c>
      <c r="M18" s="192">
        <v>43832</v>
      </c>
      <c r="N18" s="192">
        <v>43860</v>
      </c>
      <c r="O18" s="192">
        <v>43890</v>
      </c>
      <c r="P18" s="192">
        <v>43921</v>
      </c>
      <c r="Q18" s="192">
        <v>43950</v>
      </c>
      <c r="R18" s="193">
        <v>43980</v>
      </c>
      <c r="S18" s="192">
        <v>44012</v>
      </c>
      <c r="T18" s="192">
        <v>44043</v>
      </c>
      <c r="U18" s="192">
        <v>44074</v>
      </c>
      <c r="V18" s="192">
        <v>44104</v>
      </c>
      <c r="W18" s="192"/>
      <c r="X18" s="192"/>
    </row>
    <row r="19" spans="2:24" ht="17.25" thickBot="1" x14ac:dyDescent="0.35">
      <c r="B19" s="462"/>
      <c r="C19" s="182">
        <v>11996010810</v>
      </c>
      <c r="D19" s="183">
        <v>5</v>
      </c>
      <c r="E19" s="464"/>
      <c r="F19" s="462"/>
      <c r="G19" s="467"/>
      <c r="H19" s="458"/>
      <c r="I19" s="468"/>
      <c r="J19" s="474"/>
      <c r="K19" s="515"/>
      <c r="L19" s="184" t="s">
        <v>460</v>
      </c>
      <c r="M19" s="191">
        <v>43840</v>
      </c>
      <c r="N19" s="191">
        <v>43871</v>
      </c>
      <c r="O19" s="191">
        <v>43900</v>
      </c>
      <c r="P19" s="191">
        <v>43931</v>
      </c>
      <c r="Q19" s="191">
        <v>43962</v>
      </c>
      <c r="R19" s="227">
        <v>43997</v>
      </c>
      <c r="S19" s="191">
        <v>44022</v>
      </c>
      <c r="T19" s="191">
        <v>44055</v>
      </c>
      <c r="U19" s="191">
        <v>44084</v>
      </c>
      <c r="V19" s="191"/>
      <c r="W19" s="191"/>
      <c r="X19" s="191"/>
    </row>
    <row r="20" spans="2:24" ht="17.25" thickTop="1" x14ac:dyDescent="0.3">
      <c r="B20" s="461" t="s">
        <v>24</v>
      </c>
      <c r="C20" s="179">
        <v>2098159470</v>
      </c>
      <c r="D20" s="180" t="s">
        <v>465</v>
      </c>
      <c r="E20" s="463">
        <v>43063</v>
      </c>
      <c r="F20" s="465">
        <v>43465</v>
      </c>
      <c r="G20" s="466">
        <v>150000</v>
      </c>
      <c r="H20" s="457">
        <f t="shared" ref="H20" si="7">G20*0.1</f>
        <v>15000</v>
      </c>
      <c r="I20" s="451">
        <v>10</v>
      </c>
      <c r="J20" s="469" t="s">
        <v>70</v>
      </c>
      <c r="K20" s="511" t="s">
        <v>493</v>
      </c>
      <c r="L20" s="181" t="s">
        <v>459</v>
      </c>
      <c r="M20" s="193">
        <v>43832</v>
      </c>
      <c r="N20" s="192">
        <v>43860</v>
      </c>
      <c r="O20" s="192">
        <v>43890</v>
      </c>
      <c r="P20" s="192">
        <v>43921</v>
      </c>
      <c r="Q20" s="192">
        <v>43950</v>
      </c>
      <c r="R20" s="192">
        <v>43980</v>
      </c>
      <c r="S20" s="192">
        <v>44012</v>
      </c>
      <c r="T20" s="192">
        <v>44043</v>
      </c>
      <c r="U20" s="192">
        <v>44074</v>
      </c>
      <c r="V20" s="192">
        <v>44104</v>
      </c>
      <c r="W20" s="192"/>
      <c r="X20" s="192"/>
    </row>
    <row r="21" spans="2:24" ht="17.25" thickBot="1" x14ac:dyDescent="0.35">
      <c r="B21" s="462"/>
      <c r="C21" s="182">
        <v>20981594700</v>
      </c>
      <c r="D21" s="183">
        <v>10</v>
      </c>
      <c r="E21" s="464"/>
      <c r="F21" s="462"/>
      <c r="G21" s="467"/>
      <c r="H21" s="458"/>
      <c r="I21" s="468"/>
      <c r="J21" s="470"/>
      <c r="K21" s="512"/>
      <c r="L21" s="184" t="s">
        <v>460</v>
      </c>
      <c r="M21" s="199">
        <v>43847</v>
      </c>
      <c r="N21" s="191">
        <v>43873</v>
      </c>
      <c r="O21" s="191">
        <v>43902</v>
      </c>
      <c r="P21" s="191">
        <v>43934</v>
      </c>
      <c r="Q21" s="191">
        <v>43964</v>
      </c>
      <c r="R21" s="191">
        <v>43994</v>
      </c>
      <c r="S21" s="191">
        <v>44025</v>
      </c>
      <c r="T21" s="191">
        <v>44055</v>
      </c>
      <c r="U21" s="191">
        <v>44088</v>
      </c>
      <c r="V21" s="191"/>
      <c r="W21" s="191"/>
      <c r="X21" s="191"/>
    </row>
    <row r="22" spans="2:24" ht="17.25" thickTop="1" x14ac:dyDescent="0.3">
      <c r="B22" s="461" t="s">
        <v>35</v>
      </c>
      <c r="C22" s="179">
        <v>2105060783</v>
      </c>
      <c r="D22" s="180" t="s">
        <v>465</v>
      </c>
      <c r="E22" s="463">
        <v>42826</v>
      </c>
      <c r="F22" s="465">
        <v>43190</v>
      </c>
      <c r="G22" s="466">
        <v>100000</v>
      </c>
      <c r="H22" s="457">
        <f t="shared" ref="H22" si="8">G22*0.1</f>
        <v>10000</v>
      </c>
      <c r="I22" s="451">
        <v>10</v>
      </c>
      <c r="J22" s="469" t="s">
        <v>70</v>
      </c>
      <c r="K22" s="459"/>
      <c r="L22" s="181" t="s">
        <v>459</v>
      </c>
      <c r="M22" s="192">
        <v>43832</v>
      </c>
      <c r="N22" s="192">
        <v>43860</v>
      </c>
      <c r="O22" s="192">
        <v>43890</v>
      </c>
      <c r="P22" s="192">
        <v>43921</v>
      </c>
      <c r="Q22" s="192">
        <v>43950</v>
      </c>
      <c r="R22" s="192">
        <v>43980</v>
      </c>
      <c r="S22" s="192">
        <v>44012</v>
      </c>
      <c r="T22" s="192">
        <v>44043</v>
      </c>
      <c r="U22" s="192">
        <v>44074</v>
      </c>
      <c r="V22" s="192">
        <v>44104</v>
      </c>
      <c r="W22" s="192"/>
      <c r="X22" s="192"/>
    </row>
    <row r="23" spans="2:24" ht="17.25" thickBot="1" x14ac:dyDescent="0.35">
      <c r="B23" s="462"/>
      <c r="C23" s="182">
        <v>21050607830</v>
      </c>
      <c r="D23" s="183">
        <v>25</v>
      </c>
      <c r="E23" s="464"/>
      <c r="F23" s="462"/>
      <c r="G23" s="467"/>
      <c r="H23" s="458"/>
      <c r="I23" s="468"/>
      <c r="J23" s="470"/>
      <c r="K23" s="460"/>
      <c r="L23" s="184" t="s">
        <v>460</v>
      </c>
      <c r="M23" s="191">
        <v>43843</v>
      </c>
      <c r="N23" s="191">
        <v>43873</v>
      </c>
      <c r="O23" s="191">
        <v>43902</v>
      </c>
      <c r="P23" s="191">
        <v>43934</v>
      </c>
      <c r="Q23" s="191">
        <v>43964</v>
      </c>
      <c r="R23" s="191">
        <v>43994</v>
      </c>
      <c r="S23" s="191">
        <v>44025</v>
      </c>
      <c r="T23" s="199">
        <v>44063</v>
      </c>
      <c r="U23" s="191">
        <v>44088</v>
      </c>
      <c r="V23" s="191"/>
      <c r="W23" s="191"/>
      <c r="X23" s="191"/>
    </row>
    <row r="24" spans="2:24" ht="17.25" thickTop="1" x14ac:dyDescent="0.3">
      <c r="B24" s="461" t="s">
        <v>25</v>
      </c>
      <c r="C24" s="179">
        <v>5080944771</v>
      </c>
      <c r="D24" s="180" t="s">
        <v>465</v>
      </c>
      <c r="E24" s="463">
        <v>43132</v>
      </c>
      <c r="F24" s="465">
        <v>43496</v>
      </c>
      <c r="G24" s="466">
        <v>100000</v>
      </c>
      <c r="H24" s="457">
        <f t="shared" ref="H24" si="9">G24*0.1</f>
        <v>10000</v>
      </c>
      <c r="I24" s="451">
        <v>10</v>
      </c>
      <c r="J24" s="469" t="s">
        <v>70</v>
      </c>
      <c r="K24" s="459"/>
      <c r="L24" s="181" t="s">
        <v>459</v>
      </c>
      <c r="M24" s="192">
        <v>43832</v>
      </c>
      <c r="N24" s="192">
        <v>43860</v>
      </c>
      <c r="O24" s="192">
        <v>43890</v>
      </c>
      <c r="P24" s="192">
        <v>43921</v>
      </c>
      <c r="Q24" s="192">
        <v>43950</v>
      </c>
      <c r="R24" s="192">
        <v>43980</v>
      </c>
      <c r="S24" s="192">
        <v>44012</v>
      </c>
      <c r="T24" s="192">
        <v>44043</v>
      </c>
      <c r="U24" s="192">
        <v>44074</v>
      </c>
      <c r="V24" s="192">
        <v>44104</v>
      </c>
      <c r="W24" s="192"/>
      <c r="X24" s="192"/>
    </row>
    <row r="25" spans="2:24" ht="17.25" thickBot="1" x14ac:dyDescent="0.35">
      <c r="B25" s="462"/>
      <c r="C25" s="182">
        <v>50809447710</v>
      </c>
      <c r="D25" s="183">
        <v>10</v>
      </c>
      <c r="E25" s="464"/>
      <c r="F25" s="462"/>
      <c r="G25" s="467"/>
      <c r="H25" s="458"/>
      <c r="I25" s="468"/>
      <c r="J25" s="470"/>
      <c r="K25" s="460"/>
      <c r="L25" s="184" t="s">
        <v>460</v>
      </c>
      <c r="M25" s="191">
        <v>43843</v>
      </c>
      <c r="N25" s="191">
        <v>43873</v>
      </c>
      <c r="O25" s="191">
        <v>43902</v>
      </c>
      <c r="P25" s="191">
        <v>43934</v>
      </c>
      <c r="Q25" s="191">
        <v>43964</v>
      </c>
      <c r="R25" s="191">
        <v>43994</v>
      </c>
      <c r="S25" s="191">
        <v>44025</v>
      </c>
      <c r="T25" s="191">
        <v>44055</v>
      </c>
      <c r="U25" s="191">
        <v>44088</v>
      </c>
      <c r="V25" s="191"/>
      <c r="W25" s="191"/>
      <c r="X25" s="191"/>
    </row>
    <row r="26" spans="2:24" ht="17.25" thickTop="1" x14ac:dyDescent="0.3">
      <c r="B26" s="461" t="s">
        <v>23</v>
      </c>
      <c r="C26" s="179">
        <v>7329100686</v>
      </c>
      <c r="D26" s="180" t="s">
        <v>465</v>
      </c>
      <c r="E26" s="463">
        <v>43405</v>
      </c>
      <c r="F26" s="465">
        <v>43769</v>
      </c>
      <c r="G26" s="466">
        <v>110000</v>
      </c>
      <c r="H26" s="457">
        <f t="shared" ref="H26" si="10">G26*0.1</f>
        <v>11000</v>
      </c>
      <c r="I26" s="451">
        <v>10</v>
      </c>
      <c r="J26" s="469" t="s">
        <v>70</v>
      </c>
      <c r="K26" s="459"/>
      <c r="L26" s="181" t="s">
        <v>459</v>
      </c>
      <c r="M26" s="192">
        <v>43832</v>
      </c>
      <c r="N26" s="192">
        <v>43860</v>
      </c>
      <c r="O26" s="192">
        <v>43890</v>
      </c>
      <c r="P26" s="192">
        <v>43921</v>
      </c>
      <c r="Q26" s="192">
        <v>43950</v>
      </c>
      <c r="R26" s="192">
        <v>43980</v>
      </c>
      <c r="S26" s="192">
        <v>44012</v>
      </c>
      <c r="T26" s="192">
        <v>44043</v>
      </c>
      <c r="U26" s="192">
        <v>44074</v>
      </c>
      <c r="V26" s="192">
        <v>44104</v>
      </c>
      <c r="W26" s="192"/>
      <c r="X26" s="192"/>
    </row>
    <row r="27" spans="2:24" ht="17.25" thickBot="1" x14ac:dyDescent="0.35">
      <c r="B27" s="462"/>
      <c r="C27" s="182">
        <v>73291006860</v>
      </c>
      <c r="D27" s="183">
        <v>10</v>
      </c>
      <c r="E27" s="464"/>
      <c r="F27" s="462"/>
      <c r="G27" s="467"/>
      <c r="H27" s="458"/>
      <c r="I27" s="468"/>
      <c r="J27" s="470"/>
      <c r="K27" s="460"/>
      <c r="L27" s="184" t="s">
        <v>460</v>
      </c>
      <c r="M27" s="191">
        <v>43843</v>
      </c>
      <c r="N27" s="191">
        <v>43873</v>
      </c>
      <c r="O27" s="191">
        <v>43902</v>
      </c>
      <c r="P27" s="191">
        <v>43934</v>
      </c>
      <c r="Q27" s="191">
        <v>43964</v>
      </c>
      <c r="R27" s="191">
        <v>43994</v>
      </c>
      <c r="S27" s="191">
        <v>44025</v>
      </c>
      <c r="T27" s="191">
        <v>44055</v>
      </c>
      <c r="U27" s="191">
        <v>44088</v>
      </c>
      <c r="V27" s="191"/>
      <c r="W27" s="191"/>
      <c r="X27" s="191"/>
    </row>
    <row r="28" spans="2:24" s="237" customFormat="1" ht="18" thickTop="1" thickBot="1" x14ac:dyDescent="0.35">
      <c r="B28" s="461" t="s">
        <v>540</v>
      </c>
      <c r="C28" s="179">
        <v>2171086662</v>
      </c>
      <c r="D28" s="180" t="s">
        <v>465</v>
      </c>
      <c r="E28" s="463">
        <v>44013</v>
      </c>
      <c r="F28" s="465">
        <v>44377</v>
      </c>
      <c r="G28" s="466">
        <v>70000</v>
      </c>
      <c r="H28" s="457">
        <f t="shared" ref="H28" si="11">G28*0.1</f>
        <v>7000</v>
      </c>
      <c r="I28" s="451">
        <v>10</v>
      </c>
      <c r="J28" s="469" t="s">
        <v>70</v>
      </c>
      <c r="K28" s="533" t="s">
        <v>545</v>
      </c>
      <c r="L28" s="181" t="s">
        <v>459</v>
      </c>
      <c r="M28" s="218"/>
      <c r="N28" s="218"/>
      <c r="O28" s="218"/>
      <c r="P28" s="218"/>
      <c r="Q28" s="218"/>
      <c r="R28" s="218"/>
      <c r="S28" s="192">
        <v>44012</v>
      </c>
      <c r="T28" s="192">
        <v>44043</v>
      </c>
      <c r="U28" s="192">
        <v>44074</v>
      </c>
      <c r="V28" s="192">
        <v>44104</v>
      </c>
      <c r="W28" s="238"/>
      <c r="X28" s="238"/>
    </row>
    <row r="29" spans="2:24" s="237" customFormat="1" ht="18" thickTop="1" thickBot="1" x14ac:dyDescent="0.35">
      <c r="B29" s="462"/>
      <c r="C29" s="179">
        <v>21710866620</v>
      </c>
      <c r="D29" s="183">
        <v>10</v>
      </c>
      <c r="E29" s="464"/>
      <c r="F29" s="462"/>
      <c r="G29" s="467"/>
      <c r="H29" s="458"/>
      <c r="I29" s="468"/>
      <c r="J29" s="470"/>
      <c r="K29" s="534"/>
      <c r="L29" s="184" t="s">
        <v>460</v>
      </c>
      <c r="M29" s="218"/>
      <c r="N29" s="218"/>
      <c r="O29" s="218"/>
      <c r="P29" s="218"/>
      <c r="Q29" s="218"/>
      <c r="R29" s="218"/>
      <c r="S29" s="199">
        <v>44029</v>
      </c>
      <c r="T29" s="199">
        <v>44063</v>
      </c>
      <c r="U29" s="191">
        <v>44088</v>
      </c>
      <c r="V29" s="191"/>
      <c r="W29" s="238"/>
      <c r="X29" s="238"/>
    </row>
    <row r="30" spans="2:24" ht="17.25" thickTop="1" x14ac:dyDescent="0.3">
      <c r="B30" s="461" t="s">
        <v>32</v>
      </c>
      <c r="C30" s="179">
        <v>1288702947</v>
      </c>
      <c r="D30" s="180" t="s">
        <v>465</v>
      </c>
      <c r="E30" s="463">
        <v>43444</v>
      </c>
      <c r="F30" s="465">
        <v>43830</v>
      </c>
      <c r="G30" s="466">
        <v>200000</v>
      </c>
      <c r="H30" s="457">
        <f t="shared" ref="H30" si="12">G30*0.1</f>
        <v>20000</v>
      </c>
      <c r="I30" s="451">
        <v>10</v>
      </c>
      <c r="J30" s="469" t="s">
        <v>70</v>
      </c>
      <c r="K30" s="511" t="s">
        <v>500</v>
      </c>
      <c r="L30" s="181" t="s">
        <v>459</v>
      </c>
      <c r="M30" s="193">
        <v>43832</v>
      </c>
      <c r="N30" s="192">
        <v>43860</v>
      </c>
      <c r="O30" s="192">
        <v>43890</v>
      </c>
      <c r="P30" s="192">
        <v>43921</v>
      </c>
      <c r="Q30" s="192">
        <v>43950</v>
      </c>
      <c r="R30" s="193">
        <v>43980</v>
      </c>
      <c r="S30" s="192">
        <v>44012</v>
      </c>
      <c r="T30" s="192">
        <v>44043</v>
      </c>
      <c r="U30" s="192">
        <v>44074</v>
      </c>
      <c r="V30" s="192">
        <v>44104</v>
      </c>
      <c r="W30" s="192"/>
      <c r="X30" s="192"/>
    </row>
    <row r="31" spans="2:24" ht="17.25" thickBot="1" x14ac:dyDescent="0.35">
      <c r="B31" s="462"/>
      <c r="C31" s="182">
        <v>12887029470</v>
      </c>
      <c r="D31" s="183">
        <v>10</v>
      </c>
      <c r="E31" s="464"/>
      <c r="F31" s="462"/>
      <c r="G31" s="467"/>
      <c r="H31" s="458"/>
      <c r="I31" s="468"/>
      <c r="J31" s="470"/>
      <c r="K31" s="512"/>
      <c r="L31" s="184" t="s">
        <v>460</v>
      </c>
      <c r="M31" s="199">
        <v>43847</v>
      </c>
      <c r="N31" s="191">
        <v>43873</v>
      </c>
      <c r="O31" s="191">
        <v>43902</v>
      </c>
      <c r="P31" s="191">
        <v>43934</v>
      </c>
      <c r="Q31" s="191">
        <v>43964</v>
      </c>
      <c r="R31" s="199">
        <v>43994</v>
      </c>
      <c r="S31" s="191">
        <v>44025</v>
      </c>
      <c r="T31" s="191">
        <v>44055</v>
      </c>
      <c r="U31" s="191">
        <v>44088</v>
      </c>
      <c r="V31" s="191"/>
      <c r="W31" s="191"/>
      <c r="X31" s="191"/>
    </row>
    <row r="32" spans="2:24" ht="17.25" thickTop="1" x14ac:dyDescent="0.3">
      <c r="B32" s="486" t="s">
        <v>34</v>
      </c>
      <c r="C32" s="179">
        <v>2101389960</v>
      </c>
      <c r="D32" s="180" t="s">
        <v>465</v>
      </c>
      <c r="E32" s="463">
        <v>42915</v>
      </c>
      <c r="F32" s="465">
        <v>43644</v>
      </c>
      <c r="G32" s="466">
        <v>120000</v>
      </c>
      <c r="H32" s="457">
        <f t="shared" ref="H32" si="13">G32*0.1</f>
        <v>12000</v>
      </c>
      <c r="I32" s="451">
        <v>15</v>
      </c>
      <c r="J32" s="469" t="s">
        <v>70</v>
      </c>
      <c r="K32" s="459"/>
      <c r="L32" s="181" t="s">
        <v>459</v>
      </c>
      <c r="M32" s="196">
        <v>43840</v>
      </c>
      <c r="N32" s="196">
        <v>43871</v>
      </c>
      <c r="O32" s="196">
        <v>43900</v>
      </c>
      <c r="P32" s="196">
        <v>43931</v>
      </c>
      <c r="Q32" s="196">
        <v>43962</v>
      </c>
      <c r="R32" s="196">
        <v>43992</v>
      </c>
      <c r="S32" s="196">
        <v>44022</v>
      </c>
      <c r="T32" s="196">
        <v>44053</v>
      </c>
      <c r="U32" s="196">
        <v>44084</v>
      </c>
      <c r="V32" s="196"/>
      <c r="W32" s="196"/>
      <c r="X32" s="196"/>
    </row>
    <row r="33" spans="2:24" ht="17.25" thickBot="1" x14ac:dyDescent="0.35">
      <c r="B33" s="487"/>
      <c r="C33" s="182">
        <v>21013899600</v>
      </c>
      <c r="D33" s="183">
        <v>15</v>
      </c>
      <c r="E33" s="464"/>
      <c r="F33" s="462"/>
      <c r="G33" s="467"/>
      <c r="H33" s="458"/>
      <c r="I33" s="468"/>
      <c r="J33" s="470"/>
      <c r="K33" s="460"/>
      <c r="L33" s="184" t="s">
        <v>460</v>
      </c>
      <c r="M33" s="200">
        <v>43847</v>
      </c>
      <c r="N33" s="200">
        <v>43880</v>
      </c>
      <c r="O33" s="200">
        <v>43908</v>
      </c>
      <c r="P33" s="200">
        <v>43941</v>
      </c>
      <c r="Q33" s="200">
        <v>43969</v>
      </c>
      <c r="R33" s="200">
        <v>43999</v>
      </c>
      <c r="S33" s="200">
        <v>44029</v>
      </c>
      <c r="T33" s="200">
        <v>44063</v>
      </c>
      <c r="U33" s="200">
        <v>44091</v>
      </c>
      <c r="V33" s="195"/>
      <c r="W33" s="195"/>
      <c r="X33" s="195"/>
    </row>
    <row r="34" spans="2:24" ht="17.25" thickTop="1" x14ac:dyDescent="0.3">
      <c r="B34" s="486" t="s">
        <v>39</v>
      </c>
      <c r="C34" s="179">
        <v>2103640234</v>
      </c>
      <c r="D34" s="180" t="s">
        <v>465</v>
      </c>
      <c r="E34" s="463">
        <v>42913</v>
      </c>
      <c r="F34" s="465">
        <v>43277</v>
      </c>
      <c r="G34" s="466">
        <v>70000</v>
      </c>
      <c r="H34" s="457">
        <f t="shared" ref="H34" si="14">G34*0.1</f>
        <v>7000</v>
      </c>
      <c r="I34" s="451">
        <v>15</v>
      </c>
      <c r="J34" s="469" t="s">
        <v>70</v>
      </c>
      <c r="K34" s="459"/>
      <c r="L34" s="181" t="s">
        <v>459</v>
      </c>
      <c r="M34" s="196">
        <v>43840</v>
      </c>
      <c r="N34" s="196">
        <v>43871</v>
      </c>
      <c r="O34" s="196">
        <v>43900</v>
      </c>
      <c r="P34" s="196">
        <v>43931</v>
      </c>
      <c r="Q34" s="196">
        <v>43962</v>
      </c>
      <c r="R34" s="196">
        <v>43992</v>
      </c>
      <c r="S34" s="196">
        <v>44022</v>
      </c>
      <c r="T34" s="196">
        <v>44053</v>
      </c>
      <c r="U34" s="196">
        <v>44084</v>
      </c>
      <c r="V34" s="196"/>
      <c r="W34" s="196"/>
      <c r="X34" s="196"/>
    </row>
    <row r="35" spans="2:24" ht="17.25" thickBot="1" x14ac:dyDescent="0.35">
      <c r="B35" s="487"/>
      <c r="C35" s="182">
        <v>21036402340</v>
      </c>
      <c r="D35" s="183">
        <v>31</v>
      </c>
      <c r="E35" s="464"/>
      <c r="F35" s="462"/>
      <c r="G35" s="467"/>
      <c r="H35" s="458"/>
      <c r="I35" s="468"/>
      <c r="J35" s="470"/>
      <c r="K35" s="460"/>
      <c r="L35" s="184" t="s">
        <v>460</v>
      </c>
      <c r="M35" s="200">
        <v>43847</v>
      </c>
      <c r="N35" s="200">
        <v>43880</v>
      </c>
      <c r="O35" s="200">
        <v>43908</v>
      </c>
      <c r="P35" s="200">
        <v>43941</v>
      </c>
      <c r="Q35" s="200">
        <v>43969</v>
      </c>
      <c r="R35" s="200">
        <v>43999</v>
      </c>
      <c r="S35" s="200">
        <v>44029</v>
      </c>
      <c r="T35" s="200">
        <v>44063</v>
      </c>
      <c r="U35" s="200">
        <v>44091</v>
      </c>
      <c r="V35" s="195"/>
      <c r="W35" s="195"/>
      <c r="X35" s="195"/>
    </row>
    <row r="36" spans="2:24" ht="17.25" customHeight="1" thickTop="1" x14ac:dyDescent="0.3">
      <c r="B36" s="486" t="s">
        <v>40</v>
      </c>
      <c r="C36" s="179">
        <v>4211800459</v>
      </c>
      <c r="D36" s="180" t="s">
        <v>465</v>
      </c>
      <c r="E36" s="463">
        <v>42901</v>
      </c>
      <c r="F36" s="465">
        <v>43630</v>
      </c>
      <c r="G36" s="466">
        <v>100000</v>
      </c>
      <c r="H36" s="457">
        <f t="shared" ref="H36" si="15">G36*0.1</f>
        <v>10000</v>
      </c>
      <c r="I36" s="451">
        <v>15</v>
      </c>
      <c r="J36" s="469" t="s">
        <v>70</v>
      </c>
      <c r="K36" s="459"/>
      <c r="L36" s="181" t="s">
        <v>459</v>
      </c>
      <c r="M36" s="196">
        <v>43840</v>
      </c>
      <c r="N36" s="196">
        <v>43871</v>
      </c>
      <c r="O36" s="196">
        <v>43900</v>
      </c>
      <c r="P36" s="196">
        <v>43931</v>
      </c>
      <c r="Q36" s="196">
        <v>43962</v>
      </c>
      <c r="R36" s="196">
        <v>43992</v>
      </c>
      <c r="S36" s="196">
        <v>44022</v>
      </c>
      <c r="T36" s="196">
        <v>44053</v>
      </c>
      <c r="U36" s="196">
        <v>44084</v>
      </c>
      <c r="V36" s="196"/>
      <c r="W36" s="196"/>
      <c r="X36" s="196"/>
    </row>
    <row r="37" spans="2:24" ht="17.25" thickBot="1" x14ac:dyDescent="0.35">
      <c r="B37" s="487"/>
      <c r="C37" s="182">
        <v>42118004590</v>
      </c>
      <c r="D37" s="183">
        <v>31</v>
      </c>
      <c r="E37" s="464"/>
      <c r="F37" s="462"/>
      <c r="G37" s="467"/>
      <c r="H37" s="458"/>
      <c r="I37" s="468"/>
      <c r="J37" s="470"/>
      <c r="K37" s="460"/>
      <c r="L37" s="184" t="s">
        <v>460</v>
      </c>
      <c r="M37" s="200">
        <v>43847</v>
      </c>
      <c r="N37" s="200">
        <v>43880</v>
      </c>
      <c r="O37" s="200">
        <v>43908</v>
      </c>
      <c r="P37" s="200">
        <v>43941</v>
      </c>
      <c r="Q37" s="200">
        <v>43969</v>
      </c>
      <c r="R37" s="200">
        <v>43999</v>
      </c>
      <c r="S37" s="200">
        <v>44029</v>
      </c>
      <c r="T37" s="200">
        <v>44063</v>
      </c>
      <c r="U37" s="200">
        <v>44091</v>
      </c>
      <c r="V37" s="195"/>
      <c r="W37" s="195"/>
      <c r="X37" s="195"/>
    </row>
    <row r="38" spans="2:24" ht="17.25" thickTop="1" x14ac:dyDescent="0.3">
      <c r="B38" s="486" t="s">
        <v>27</v>
      </c>
      <c r="C38" s="179">
        <v>4338800659</v>
      </c>
      <c r="D38" s="180" t="s">
        <v>465</v>
      </c>
      <c r="E38" s="463">
        <v>42956</v>
      </c>
      <c r="F38" s="465">
        <v>43320</v>
      </c>
      <c r="G38" s="466">
        <v>100000</v>
      </c>
      <c r="H38" s="457">
        <f t="shared" ref="H38" si="16">G38*0.1</f>
        <v>10000</v>
      </c>
      <c r="I38" s="451">
        <v>15</v>
      </c>
      <c r="J38" s="469" t="s">
        <v>70</v>
      </c>
      <c r="K38" s="459"/>
      <c r="L38" s="181" t="s">
        <v>459</v>
      </c>
      <c r="M38" s="196">
        <v>43840</v>
      </c>
      <c r="N38" s="196">
        <v>43871</v>
      </c>
      <c r="O38" s="196">
        <v>43900</v>
      </c>
      <c r="P38" s="196">
        <v>43931</v>
      </c>
      <c r="Q38" s="196">
        <v>43962</v>
      </c>
      <c r="R38" s="196">
        <v>43992</v>
      </c>
      <c r="S38" s="196">
        <v>44022</v>
      </c>
      <c r="T38" s="196">
        <v>44053</v>
      </c>
      <c r="U38" s="196">
        <v>44084</v>
      </c>
      <c r="V38" s="196"/>
      <c r="W38" s="196"/>
      <c r="X38" s="196"/>
    </row>
    <row r="39" spans="2:24" ht="17.25" thickBot="1" x14ac:dyDescent="0.35">
      <c r="B39" s="487"/>
      <c r="C39" s="182">
        <v>43388006590</v>
      </c>
      <c r="D39" s="183">
        <v>10</v>
      </c>
      <c r="E39" s="464"/>
      <c r="F39" s="462"/>
      <c r="G39" s="467"/>
      <c r="H39" s="458"/>
      <c r="I39" s="468"/>
      <c r="J39" s="470"/>
      <c r="K39" s="460"/>
      <c r="L39" s="184" t="s">
        <v>460</v>
      </c>
      <c r="M39" s="200">
        <v>43847</v>
      </c>
      <c r="N39" s="200">
        <v>43880</v>
      </c>
      <c r="O39" s="200">
        <v>43908</v>
      </c>
      <c r="P39" s="200">
        <v>43941</v>
      </c>
      <c r="Q39" s="200">
        <v>43969</v>
      </c>
      <c r="R39" s="200">
        <v>43999</v>
      </c>
      <c r="S39" s="200">
        <v>44029</v>
      </c>
      <c r="T39" s="200">
        <v>44063</v>
      </c>
      <c r="U39" s="200">
        <v>44091</v>
      </c>
      <c r="V39" s="195"/>
      <c r="W39" s="195"/>
      <c r="X39" s="195"/>
    </row>
    <row r="40" spans="2:24" ht="17.25" thickTop="1" x14ac:dyDescent="0.3">
      <c r="B40" s="486" t="s">
        <v>29</v>
      </c>
      <c r="C40" s="179">
        <v>1274680442</v>
      </c>
      <c r="D40" s="180" t="s">
        <v>465</v>
      </c>
      <c r="E40" s="463">
        <v>43207</v>
      </c>
      <c r="F40" s="465">
        <v>43571</v>
      </c>
      <c r="G40" s="466">
        <v>100000</v>
      </c>
      <c r="H40" s="457">
        <f t="shared" ref="H40" si="17">G40*0.1</f>
        <v>10000</v>
      </c>
      <c r="I40" s="451">
        <v>15</v>
      </c>
      <c r="J40" s="469" t="s">
        <v>70</v>
      </c>
      <c r="K40" s="459"/>
      <c r="L40" s="181" t="s">
        <v>459</v>
      </c>
      <c r="M40" s="196">
        <v>43840</v>
      </c>
      <c r="N40" s="196">
        <v>43871</v>
      </c>
      <c r="O40" s="196">
        <v>43900</v>
      </c>
      <c r="P40" s="196">
        <v>43931</v>
      </c>
      <c r="Q40" s="196">
        <v>43962</v>
      </c>
      <c r="R40" s="196">
        <v>43992</v>
      </c>
      <c r="S40" s="196">
        <v>44022</v>
      </c>
      <c r="T40" s="196">
        <v>44053</v>
      </c>
      <c r="U40" s="196">
        <v>44084</v>
      </c>
      <c r="V40" s="196"/>
      <c r="W40" s="196"/>
      <c r="X40" s="196"/>
    </row>
    <row r="41" spans="2:24" ht="17.25" thickBot="1" x14ac:dyDescent="0.35">
      <c r="B41" s="487"/>
      <c r="C41" s="182">
        <v>12746804420</v>
      </c>
      <c r="D41" s="183">
        <v>10</v>
      </c>
      <c r="E41" s="464"/>
      <c r="F41" s="462"/>
      <c r="G41" s="467"/>
      <c r="H41" s="458"/>
      <c r="I41" s="468"/>
      <c r="J41" s="470"/>
      <c r="K41" s="460"/>
      <c r="L41" s="184" t="s">
        <v>460</v>
      </c>
      <c r="M41" s="200">
        <v>43847</v>
      </c>
      <c r="N41" s="200">
        <v>43880</v>
      </c>
      <c r="O41" s="200">
        <v>43908</v>
      </c>
      <c r="P41" s="200">
        <v>43941</v>
      </c>
      <c r="Q41" s="200">
        <v>43969</v>
      </c>
      <c r="R41" s="200">
        <v>43999</v>
      </c>
      <c r="S41" s="200">
        <v>44029</v>
      </c>
      <c r="T41" s="200">
        <v>44063</v>
      </c>
      <c r="U41" s="200">
        <v>44091</v>
      </c>
      <c r="V41" s="195"/>
      <c r="W41" s="195"/>
      <c r="X41" s="195"/>
    </row>
    <row r="42" spans="2:24" ht="17.25" thickTop="1" x14ac:dyDescent="0.3">
      <c r="B42" s="486" t="s">
        <v>15</v>
      </c>
      <c r="C42" s="179">
        <v>1272941383</v>
      </c>
      <c r="D42" s="180" t="s">
        <v>465</v>
      </c>
      <c r="E42" s="463">
        <v>43191</v>
      </c>
      <c r="F42" s="465">
        <v>43555</v>
      </c>
      <c r="G42" s="466">
        <v>50000</v>
      </c>
      <c r="H42" s="457">
        <f t="shared" ref="H42" si="18">G42*0.1</f>
        <v>5000</v>
      </c>
      <c r="I42" s="451">
        <v>20</v>
      </c>
      <c r="J42" s="469" t="s">
        <v>70</v>
      </c>
      <c r="K42" s="459"/>
      <c r="L42" s="181" t="s">
        <v>459</v>
      </c>
      <c r="M42" s="196">
        <v>43840</v>
      </c>
      <c r="N42" s="196">
        <v>43871</v>
      </c>
      <c r="O42" s="196">
        <v>43900</v>
      </c>
      <c r="P42" s="196">
        <v>43931</v>
      </c>
      <c r="Q42" s="196">
        <v>43962</v>
      </c>
      <c r="R42" s="196">
        <v>43992</v>
      </c>
      <c r="S42" s="196">
        <v>44022</v>
      </c>
      <c r="T42" s="196">
        <v>44053</v>
      </c>
      <c r="U42" s="196">
        <v>44084</v>
      </c>
      <c r="V42" s="196"/>
      <c r="W42" s="196"/>
      <c r="X42" s="196"/>
    </row>
    <row r="43" spans="2:24" ht="17.25" thickBot="1" x14ac:dyDescent="0.35">
      <c r="B43" s="487"/>
      <c r="C43" s="182">
        <v>12729413830</v>
      </c>
      <c r="D43" s="183">
        <v>5</v>
      </c>
      <c r="E43" s="464"/>
      <c r="F43" s="462"/>
      <c r="G43" s="467"/>
      <c r="H43" s="458"/>
      <c r="I43" s="468"/>
      <c r="J43" s="470"/>
      <c r="K43" s="460"/>
      <c r="L43" s="184" t="s">
        <v>460</v>
      </c>
      <c r="M43" s="200">
        <v>43852</v>
      </c>
      <c r="N43" s="200">
        <v>43885</v>
      </c>
      <c r="O43" s="200">
        <v>43913</v>
      </c>
      <c r="P43" s="200">
        <v>43943</v>
      </c>
      <c r="Q43" s="200">
        <v>43973</v>
      </c>
      <c r="R43" s="200">
        <v>44006</v>
      </c>
      <c r="S43" s="200">
        <v>44034</v>
      </c>
      <c r="T43" s="200">
        <v>44067</v>
      </c>
      <c r="U43" s="200">
        <v>44097</v>
      </c>
      <c r="V43" s="195"/>
      <c r="W43" s="195"/>
      <c r="X43" s="195"/>
    </row>
    <row r="44" spans="2:24" ht="17.25" customHeight="1" thickTop="1" x14ac:dyDescent="0.3">
      <c r="B44" s="492" t="s">
        <v>16</v>
      </c>
      <c r="C44" s="179">
        <v>4709000461</v>
      </c>
      <c r="D44" s="180" t="s">
        <v>465</v>
      </c>
      <c r="E44" s="443">
        <v>42948</v>
      </c>
      <c r="F44" s="445">
        <v>43677</v>
      </c>
      <c r="G44" s="447">
        <v>370000</v>
      </c>
      <c r="H44" s="457">
        <f t="shared" ref="H44" si="19">G44*0.1</f>
        <v>37000</v>
      </c>
      <c r="I44" s="451">
        <v>20</v>
      </c>
      <c r="J44" s="453" t="s">
        <v>70</v>
      </c>
      <c r="K44" s="516" t="s">
        <v>546</v>
      </c>
      <c r="L44" s="181" t="s">
        <v>459</v>
      </c>
      <c r="M44" s="196">
        <v>43840</v>
      </c>
      <c r="N44" s="196">
        <v>43871</v>
      </c>
      <c r="O44" s="196">
        <v>43900</v>
      </c>
      <c r="P44" s="196">
        <v>43931</v>
      </c>
      <c r="Q44" s="196">
        <v>43962</v>
      </c>
      <c r="R44" s="196">
        <v>43992</v>
      </c>
      <c r="S44" s="196">
        <v>44022</v>
      </c>
      <c r="T44" s="196">
        <v>44053</v>
      </c>
      <c r="U44" s="196">
        <v>44084</v>
      </c>
      <c r="V44" s="193"/>
      <c r="W44" s="196"/>
      <c r="X44" s="196"/>
    </row>
    <row r="45" spans="2:24" ht="17.25" thickBot="1" x14ac:dyDescent="0.35">
      <c r="B45" s="493"/>
      <c r="C45" s="182">
        <v>47090004610</v>
      </c>
      <c r="D45" s="183">
        <v>5</v>
      </c>
      <c r="E45" s="494"/>
      <c r="F45" s="495"/>
      <c r="G45" s="496"/>
      <c r="H45" s="458"/>
      <c r="I45" s="468"/>
      <c r="J45" s="497"/>
      <c r="K45" s="517"/>
      <c r="L45" s="184" t="s">
        <v>460</v>
      </c>
      <c r="M45" s="200">
        <v>43852</v>
      </c>
      <c r="N45" s="200">
        <v>43885</v>
      </c>
      <c r="O45" s="200">
        <v>43913</v>
      </c>
      <c r="P45" s="200">
        <v>43943</v>
      </c>
      <c r="Q45" s="200">
        <v>43973</v>
      </c>
      <c r="R45" s="200">
        <v>44006</v>
      </c>
      <c r="S45" s="200">
        <v>44034</v>
      </c>
      <c r="T45" s="200">
        <v>44067</v>
      </c>
      <c r="U45" s="200">
        <v>44097</v>
      </c>
      <c r="V45" s="194"/>
      <c r="W45" s="195"/>
      <c r="X45" s="195"/>
    </row>
    <row r="46" spans="2:24" ht="17.25" customHeight="1" thickTop="1" x14ac:dyDescent="0.3">
      <c r="B46" s="475" t="s">
        <v>36</v>
      </c>
      <c r="C46" s="207">
        <v>2238266222</v>
      </c>
      <c r="D46" s="208" t="s">
        <v>465</v>
      </c>
      <c r="E46" s="490"/>
      <c r="F46" s="479">
        <v>43861</v>
      </c>
      <c r="G46" s="480"/>
      <c r="H46" s="482"/>
      <c r="I46" s="488"/>
      <c r="J46" s="484"/>
      <c r="K46" s="509" t="s">
        <v>505</v>
      </c>
      <c r="L46" s="181" t="s">
        <v>459</v>
      </c>
      <c r="M46" s="196">
        <v>43840</v>
      </c>
      <c r="N46" s="202"/>
      <c r="O46" s="202"/>
      <c r="P46" s="202"/>
      <c r="Q46" s="202"/>
      <c r="R46" s="202"/>
      <c r="S46" s="202"/>
      <c r="T46" s="202"/>
      <c r="U46" s="202"/>
      <c r="V46" s="202"/>
      <c r="W46" s="202"/>
      <c r="X46" s="202"/>
    </row>
    <row r="47" spans="2:24" ht="17.25" thickBot="1" x14ac:dyDescent="0.35">
      <c r="B47" s="476"/>
      <c r="C47" s="209">
        <v>22382662220</v>
      </c>
      <c r="D47" s="210">
        <v>25</v>
      </c>
      <c r="E47" s="491"/>
      <c r="F47" s="476"/>
      <c r="G47" s="481"/>
      <c r="H47" s="483"/>
      <c r="I47" s="489"/>
      <c r="J47" s="485"/>
      <c r="K47" s="510"/>
      <c r="L47" s="184" t="s">
        <v>460</v>
      </c>
      <c r="M47" s="200">
        <v>43852</v>
      </c>
      <c r="N47" s="203"/>
      <c r="O47" s="203"/>
      <c r="P47" s="203"/>
      <c r="Q47" s="203"/>
      <c r="R47" s="203"/>
      <c r="S47" s="203"/>
      <c r="T47" s="203"/>
      <c r="U47" s="203"/>
      <c r="V47" s="203"/>
      <c r="W47" s="203"/>
      <c r="X47" s="203"/>
    </row>
    <row r="48" spans="2:24" ht="17.25" thickTop="1" x14ac:dyDescent="0.3">
      <c r="B48" s="486" t="s">
        <v>41</v>
      </c>
      <c r="C48" s="179">
        <v>7388600579</v>
      </c>
      <c r="D48" s="180" t="s">
        <v>465</v>
      </c>
      <c r="E48" s="463">
        <v>42736</v>
      </c>
      <c r="F48" s="465">
        <v>43100</v>
      </c>
      <c r="G48" s="466">
        <v>70000</v>
      </c>
      <c r="H48" s="457">
        <f t="shared" ref="H48:H52" si="20">G48*0.1</f>
        <v>7000</v>
      </c>
      <c r="I48" s="451">
        <v>20</v>
      </c>
      <c r="J48" s="469" t="s">
        <v>70</v>
      </c>
      <c r="K48" s="459"/>
      <c r="L48" s="181" t="s">
        <v>459</v>
      </c>
      <c r="M48" s="196">
        <v>43840</v>
      </c>
      <c r="N48" s="196">
        <v>43871</v>
      </c>
      <c r="O48" s="196">
        <v>43900</v>
      </c>
      <c r="P48" s="196">
        <v>43931</v>
      </c>
      <c r="Q48" s="196">
        <v>43962</v>
      </c>
      <c r="R48" s="196">
        <v>43992</v>
      </c>
      <c r="S48" s="196">
        <v>44022</v>
      </c>
      <c r="T48" s="196">
        <v>44053</v>
      </c>
      <c r="U48" s="196">
        <v>44084</v>
      </c>
      <c r="V48" s="196"/>
      <c r="W48" s="196"/>
      <c r="X48" s="196"/>
    </row>
    <row r="49" spans="2:24" ht="17.25" thickBot="1" x14ac:dyDescent="0.35">
      <c r="B49" s="487"/>
      <c r="C49" s="182">
        <v>73886005790</v>
      </c>
      <c r="D49" s="183">
        <v>31</v>
      </c>
      <c r="E49" s="464"/>
      <c r="F49" s="462"/>
      <c r="G49" s="467"/>
      <c r="H49" s="458"/>
      <c r="I49" s="468"/>
      <c r="J49" s="470"/>
      <c r="K49" s="460"/>
      <c r="L49" s="184" t="s">
        <v>460</v>
      </c>
      <c r="M49" s="200">
        <v>43852</v>
      </c>
      <c r="N49" s="200">
        <v>43885</v>
      </c>
      <c r="O49" s="200">
        <v>43913</v>
      </c>
      <c r="P49" s="200">
        <v>43943</v>
      </c>
      <c r="Q49" s="200">
        <v>43973</v>
      </c>
      <c r="R49" s="200">
        <v>44006</v>
      </c>
      <c r="S49" s="200">
        <v>44034</v>
      </c>
      <c r="T49" s="200">
        <v>44067</v>
      </c>
      <c r="U49" s="200">
        <v>44097</v>
      </c>
      <c r="V49" s="195"/>
      <c r="W49" s="195"/>
      <c r="X49" s="195"/>
    </row>
    <row r="50" spans="2:24" ht="17.25" thickTop="1" x14ac:dyDescent="0.3">
      <c r="B50" s="486" t="s">
        <v>42</v>
      </c>
      <c r="C50" s="179">
        <v>2108175072</v>
      </c>
      <c r="D50" s="180" t="s">
        <v>465</v>
      </c>
      <c r="E50" s="463">
        <v>42950</v>
      </c>
      <c r="F50" s="465">
        <v>43314</v>
      </c>
      <c r="G50" s="466">
        <v>130000</v>
      </c>
      <c r="H50" s="457">
        <f t="shared" si="20"/>
        <v>13000</v>
      </c>
      <c r="I50" s="451">
        <v>20</v>
      </c>
      <c r="J50" s="469" t="s">
        <v>70</v>
      </c>
      <c r="K50" s="459"/>
      <c r="L50" s="181" t="s">
        <v>459</v>
      </c>
      <c r="M50" s="196">
        <v>43840</v>
      </c>
      <c r="N50" s="196">
        <v>43871</v>
      </c>
      <c r="O50" s="196">
        <v>43900</v>
      </c>
      <c r="P50" s="196">
        <v>43931</v>
      </c>
      <c r="Q50" s="196">
        <v>43962</v>
      </c>
      <c r="R50" s="196">
        <v>43992</v>
      </c>
      <c r="S50" s="196">
        <v>44022</v>
      </c>
      <c r="T50" s="196">
        <v>44053</v>
      </c>
      <c r="U50" s="196">
        <v>44084</v>
      </c>
      <c r="V50" s="196"/>
      <c r="W50" s="196"/>
      <c r="X50" s="196"/>
    </row>
    <row r="51" spans="2:24" ht="17.25" thickBot="1" x14ac:dyDescent="0.35">
      <c r="B51" s="487"/>
      <c r="C51" s="182">
        <v>21081750720</v>
      </c>
      <c r="D51" s="183">
        <v>5</v>
      </c>
      <c r="E51" s="464"/>
      <c r="F51" s="462"/>
      <c r="G51" s="467"/>
      <c r="H51" s="458"/>
      <c r="I51" s="468"/>
      <c r="J51" s="470"/>
      <c r="K51" s="460"/>
      <c r="L51" s="184" t="s">
        <v>460</v>
      </c>
      <c r="M51" s="200">
        <v>43852</v>
      </c>
      <c r="N51" s="200">
        <v>43885</v>
      </c>
      <c r="O51" s="200">
        <v>43913</v>
      </c>
      <c r="P51" s="200">
        <v>43943</v>
      </c>
      <c r="Q51" s="200">
        <v>43973</v>
      </c>
      <c r="R51" s="200">
        <v>44006</v>
      </c>
      <c r="S51" s="200">
        <v>44034</v>
      </c>
      <c r="T51" s="200">
        <v>44067</v>
      </c>
      <c r="U51" s="200">
        <v>44097</v>
      </c>
      <c r="V51" s="195"/>
      <c r="W51" s="195"/>
      <c r="X51" s="195"/>
    </row>
    <row r="52" spans="2:24" ht="17.25" thickTop="1" x14ac:dyDescent="0.3">
      <c r="B52" s="486" t="s">
        <v>31</v>
      </c>
      <c r="C52" s="179">
        <v>2048633669</v>
      </c>
      <c r="D52" s="180" t="s">
        <v>465</v>
      </c>
      <c r="E52" s="463">
        <v>43388</v>
      </c>
      <c r="F52" s="465">
        <v>43752</v>
      </c>
      <c r="G52" s="466">
        <v>150000</v>
      </c>
      <c r="H52" s="457">
        <f t="shared" si="20"/>
        <v>15000</v>
      </c>
      <c r="I52" s="451">
        <v>20</v>
      </c>
      <c r="J52" s="469" t="s">
        <v>70</v>
      </c>
      <c r="K52" s="459"/>
      <c r="L52" s="181" t="s">
        <v>459</v>
      </c>
      <c r="M52" s="196">
        <v>43840</v>
      </c>
      <c r="N52" s="196">
        <v>43871</v>
      </c>
      <c r="O52" s="196">
        <v>43900</v>
      </c>
      <c r="P52" s="196">
        <v>43931</v>
      </c>
      <c r="Q52" s="196">
        <v>43962</v>
      </c>
      <c r="R52" s="196">
        <v>43992</v>
      </c>
      <c r="S52" s="196">
        <v>44022</v>
      </c>
      <c r="T52" s="196">
        <v>44053</v>
      </c>
      <c r="U52" s="196">
        <v>44084</v>
      </c>
      <c r="V52" s="196"/>
      <c r="W52" s="196"/>
      <c r="X52" s="196"/>
    </row>
    <row r="53" spans="2:24" ht="17.25" thickBot="1" x14ac:dyDescent="0.35">
      <c r="B53" s="487"/>
      <c r="C53" s="182">
        <v>20486336690</v>
      </c>
      <c r="D53" s="183">
        <v>10</v>
      </c>
      <c r="E53" s="464"/>
      <c r="F53" s="462"/>
      <c r="G53" s="467"/>
      <c r="H53" s="458"/>
      <c r="I53" s="468"/>
      <c r="J53" s="470"/>
      <c r="K53" s="460"/>
      <c r="L53" s="184" t="s">
        <v>460</v>
      </c>
      <c r="M53" s="200">
        <v>43852</v>
      </c>
      <c r="N53" s="200">
        <v>43885</v>
      </c>
      <c r="O53" s="200">
        <v>43913</v>
      </c>
      <c r="P53" s="200">
        <v>43943</v>
      </c>
      <c r="Q53" s="200">
        <v>43973</v>
      </c>
      <c r="R53" s="200">
        <v>44006</v>
      </c>
      <c r="S53" s="200">
        <v>44034</v>
      </c>
      <c r="T53" s="200">
        <v>44067</v>
      </c>
      <c r="U53" s="200">
        <v>44097</v>
      </c>
      <c r="V53" s="195"/>
      <c r="W53" s="195"/>
      <c r="X53" s="195"/>
    </row>
    <row r="54" spans="2:24" ht="17.25" customHeight="1" thickTop="1" x14ac:dyDescent="0.3">
      <c r="B54" s="475" t="s">
        <v>477</v>
      </c>
      <c r="C54" s="207">
        <v>5308001249</v>
      </c>
      <c r="D54" s="208" t="s">
        <v>465</v>
      </c>
      <c r="E54" s="477">
        <v>43466</v>
      </c>
      <c r="F54" s="479">
        <v>43982</v>
      </c>
      <c r="G54" s="480"/>
      <c r="H54" s="482"/>
      <c r="I54" s="488"/>
      <c r="J54" s="484"/>
      <c r="K54" s="509" t="s">
        <v>504</v>
      </c>
      <c r="L54" s="181" t="s">
        <v>459</v>
      </c>
      <c r="M54" s="193">
        <v>43840</v>
      </c>
      <c r="N54" s="196">
        <v>43871</v>
      </c>
      <c r="O54" s="196">
        <v>43900</v>
      </c>
      <c r="P54" s="196">
        <v>43931</v>
      </c>
      <c r="Q54" s="196">
        <v>43962</v>
      </c>
      <c r="R54" s="202"/>
      <c r="S54" s="202"/>
      <c r="T54" s="202"/>
      <c r="U54" s="202"/>
      <c r="V54" s="202"/>
      <c r="W54" s="202"/>
      <c r="X54" s="202"/>
    </row>
    <row r="55" spans="2:24" ht="17.25" thickBot="1" x14ac:dyDescent="0.35">
      <c r="B55" s="476"/>
      <c r="C55" s="209">
        <v>53080012490</v>
      </c>
      <c r="D55" s="210">
        <v>5</v>
      </c>
      <c r="E55" s="478"/>
      <c r="F55" s="476"/>
      <c r="G55" s="481"/>
      <c r="H55" s="483"/>
      <c r="I55" s="489"/>
      <c r="J55" s="485"/>
      <c r="K55" s="510"/>
      <c r="L55" s="184" t="s">
        <v>460</v>
      </c>
      <c r="M55" s="199">
        <v>43852</v>
      </c>
      <c r="N55" s="200">
        <v>43885</v>
      </c>
      <c r="O55" s="200">
        <v>43913</v>
      </c>
      <c r="P55" s="200">
        <v>43943</v>
      </c>
      <c r="Q55" s="200">
        <v>43973</v>
      </c>
      <c r="R55" s="203"/>
      <c r="S55" s="203"/>
      <c r="T55" s="203"/>
      <c r="U55" s="203"/>
      <c r="V55" s="203"/>
      <c r="W55" s="203"/>
      <c r="X55" s="203"/>
    </row>
    <row r="56" spans="2:24" ht="17.25" thickTop="1" x14ac:dyDescent="0.3">
      <c r="B56" s="461" t="s">
        <v>8</v>
      </c>
      <c r="C56" s="179">
        <v>2208734406</v>
      </c>
      <c r="D56" s="180" t="s">
        <v>465</v>
      </c>
      <c r="E56" s="463">
        <v>43193</v>
      </c>
      <c r="F56" s="465">
        <v>43557</v>
      </c>
      <c r="G56" s="466">
        <v>220000</v>
      </c>
      <c r="H56" s="457">
        <f t="shared" ref="H56:H64" si="21">G56*0.1</f>
        <v>22000</v>
      </c>
      <c r="I56" s="451">
        <v>25</v>
      </c>
      <c r="J56" s="473" t="s">
        <v>474</v>
      </c>
      <c r="K56" s="459"/>
      <c r="L56" s="181" t="s">
        <v>459</v>
      </c>
      <c r="M56" s="197">
        <v>43850</v>
      </c>
      <c r="N56" s="197">
        <v>43881</v>
      </c>
      <c r="O56" s="197">
        <v>43910</v>
      </c>
      <c r="P56" s="197">
        <v>43942</v>
      </c>
      <c r="Q56" s="197">
        <v>43971</v>
      </c>
      <c r="R56" s="197">
        <v>44002</v>
      </c>
      <c r="S56" s="197">
        <v>44032</v>
      </c>
      <c r="T56" s="197">
        <v>44063</v>
      </c>
      <c r="U56" s="197">
        <v>44095</v>
      </c>
      <c r="V56" s="197"/>
      <c r="W56" s="197"/>
      <c r="X56" s="197"/>
    </row>
    <row r="57" spans="2:24" ht="17.25" thickBot="1" x14ac:dyDescent="0.35">
      <c r="B57" s="462"/>
      <c r="C57" s="182">
        <v>22087344060</v>
      </c>
      <c r="D57" s="183">
        <v>0</v>
      </c>
      <c r="E57" s="464"/>
      <c r="F57" s="462"/>
      <c r="G57" s="467"/>
      <c r="H57" s="458"/>
      <c r="I57" s="468"/>
      <c r="J57" s="474"/>
      <c r="K57" s="460"/>
      <c r="L57" s="184" t="s">
        <v>460</v>
      </c>
      <c r="M57" s="201">
        <v>43853</v>
      </c>
      <c r="N57" s="201">
        <v>43886</v>
      </c>
      <c r="O57" s="220">
        <v>43915</v>
      </c>
      <c r="P57" s="201">
        <v>43945</v>
      </c>
      <c r="Q57" s="201">
        <v>43976</v>
      </c>
      <c r="R57" s="201">
        <v>44007</v>
      </c>
      <c r="S57" s="201">
        <v>44036</v>
      </c>
      <c r="T57" s="201">
        <v>44071</v>
      </c>
      <c r="U57" s="201">
        <v>44099</v>
      </c>
      <c r="V57" s="198"/>
      <c r="W57" s="198"/>
      <c r="X57" s="198"/>
    </row>
    <row r="58" spans="2:24" ht="17.25" thickTop="1" x14ac:dyDescent="0.3">
      <c r="B58" s="461" t="s">
        <v>17</v>
      </c>
      <c r="C58" s="179">
        <v>4079900433</v>
      </c>
      <c r="D58" s="180" t="s">
        <v>465</v>
      </c>
      <c r="E58" s="463">
        <v>43004</v>
      </c>
      <c r="F58" s="465">
        <v>43733</v>
      </c>
      <c r="G58" s="466">
        <v>250000</v>
      </c>
      <c r="H58" s="457">
        <f t="shared" si="21"/>
        <v>25000</v>
      </c>
      <c r="I58" s="451">
        <v>25</v>
      </c>
      <c r="J58" s="469" t="s">
        <v>70</v>
      </c>
      <c r="K58" s="518" t="s">
        <v>498</v>
      </c>
      <c r="L58" s="181" t="s">
        <v>459</v>
      </c>
      <c r="M58" s="197">
        <v>43850</v>
      </c>
      <c r="N58" s="197">
        <v>43881</v>
      </c>
      <c r="O58" s="197">
        <v>43910</v>
      </c>
      <c r="P58" s="197">
        <v>43942</v>
      </c>
      <c r="Q58" s="197">
        <v>43971</v>
      </c>
      <c r="R58" s="197">
        <v>44002</v>
      </c>
      <c r="S58" s="197">
        <v>44032</v>
      </c>
      <c r="T58" s="197">
        <v>44063</v>
      </c>
      <c r="U58" s="197">
        <v>44095</v>
      </c>
      <c r="V58" s="193"/>
      <c r="W58" s="197"/>
      <c r="X58" s="197"/>
    </row>
    <row r="59" spans="2:24" ht="17.25" thickBot="1" x14ac:dyDescent="0.35">
      <c r="B59" s="462"/>
      <c r="C59" s="182">
        <v>40799004330</v>
      </c>
      <c r="D59" s="183">
        <v>5</v>
      </c>
      <c r="E59" s="464"/>
      <c r="F59" s="462"/>
      <c r="G59" s="467"/>
      <c r="H59" s="458"/>
      <c r="I59" s="468"/>
      <c r="J59" s="470"/>
      <c r="K59" s="515"/>
      <c r="L59" s="184" t="s">
        <v>460</v>
      </c>
      <c r="M59" s="201">
        <v>43860</v>
      </c>
      <c r="N59" s="201">
        <v>43888</v>
      </c>
      <c r="O59" s="220">
        <v>43917</v>
      </c>
      <c r="P59" s="201">
        <v>43950</v>
      </c>
      <c r="Q59" s="201">
        <v>43978</v>
      </c>
      <c r="R59" s="201">
        <v>44011</v>
      </c>
      <c r="S59" s="201">
        <v>44041</v>
      </c>
      <c r="T59" s="201">
        <v>44070</v>
      </c>
      <c r="U59" s="201">
        <v>44102</v>
      </c>
      <c r="V59" s="194"/>
      <c r="W59" s="198"/>
      <c r="X59" s="198"/>
    </row>
    <row r="60" spans="2:24" ht="18" thickTop="1" thickBot="1" x14ac:dyDescent="0.35">
      <c r="B60" s="461" t="s">
        <v>37</v>
      </c>
      <c r="C60" s="179">
        <v>2101710952</v>
      </c>
      <c r="D60" s="180" t="s">
        <v>465</v>
      </c>
      <c r="E60" s="463">
        <v>42522</v>
      </c>
      <c r="F60" s="465">
        <v>42886</v>
      </c>
      <c r="G60" s="466">
        <v>50000</v>
      </c>
      <c r="H60" s="457">
        <f t="shared" si="21"/>
        <v>5000</v>
      </c>
      <c r="I60" s="451">
        <v>25</v>
      </c>
      <c r="J60" s="473" t="s">
        <v>474</v>
      </c>
      <c r="K60" s="459"/>
      <c r="L60" s="181" t="s">
        <v>459</v>
      </c>
      <c r="M60" s="197">
        <v>43850</v>
      </c>
      <c r="N60" s="197">
        <v>43881</v>
      </c>
      <c r="O60" s="197">
        <v>43910</v>
      </c>
      <c r="P60" s="197">
        <v>43942</v>
      </c>
      <c r="Q60" s="197">
        <v>43971</v>
      </c>
      <c r="R60" s="197">
        <v>44002</v>
      </c>
      <c r="S60" s="197">
        <v>44032</v>
      </c>
      <c r="T60" s="197">
        <v>44063</v>
      </c>
      <c r="U60" s="197">
        <v>44095</v>
      </c>
      <c r="V60" s="197"/>
      <c r="W60" s="197"/>
      <c r="X60" s="197"/>
    </row>
    <row r="61" spans="2:24" ht="18" thickTop="1" thickBot="1" x14ac:dyDescent="0.35">
      <c r="B61" s="462"/>
      <c r="C61" s="182">
        <v>21017109520</v>
      </c>
      <c r="D61" s="183">
        <v>25</v>
      </c>
      <c r="E61" s="464"/>
      <c r="F61" s="462"/>
      <c r="G61" s="467"/>
      <c r="H61" s="458"/>
      <c r="I61" s="468"/>
      <c r="J61" s="474"/>
      <c r="K61" s="460"/>
      <c r="L61" s="184" t="s">
        <v>460</v>
      </c>
      <c r="M61" s="197">
        <v>43850</v>
      </c>
      <c r="N61" s="201">
        <v>43881</v>
      </c>
      <c r="O61" s="220">
        <v>43916</v>
      </c>
      <c r="P61" s="201">
        <v>43946</v>
      </c>
      <c r="Q61" s="199">
        <v>44014</v>
      </c>
      <c r="R61" s="199">
        <v>44014</v>
      </c>
      <c r="S61" s="201">
        <v>44049</v>
      </c>
      <c r="T61" s="201">
        <v>44068</v>
      </c>
      <c r="U61" s="201"/>
      <c r="V61" s="198"/>
      <c r="W61" s="198"/>
      <c r="X61" s="198"/>
    </row>
    <row r="62" spans="2:24" ht="17.25" thickTop="1" x14ac:dyDescent="0.3">
      <c r="B62" s="461" t="s">
        <v>38</v>
      </c>
      <c r="C62" s="179">
        <v>6160598681</v>
      </c>
      <c r="D62" s="180" t="s">
        <v>465</v>
      </c>
      <c r="E62" s="463">
        <v>0</v>
      </c>
      <c r="F62" s="465">
        <v>0</v>
      </c>
      <c r="G62" s="466">
        <v>100000</v>
      </c>
      <c r="H62" s="457">
        <f t="shared" si="21"/>
        <v>10000</v>
      </c>
      <c r="I62" s="451">
        <v>25</v>
      </c>
      <c r="J62" s="473" t="s">
        <v>474</v>
      </c>
      <c r="K62" s="459"/>
      <c r="L62" s="181" t="s">
        <v>459</v>
      </c>
      <c r="M62" s="197">
        <v>43850</v>
      </c>
      <c r="N62" s="197">
        <v>43881</v>
      </c>
      <c r="O62" s="197">
        <v>43910</v>
      </c>
      <c r="P62" s="197">
        <v>43942</v>
      </c>
      <c r="Q62" s="197">
        <v>43971</v>
      </c>
      <c r="R62" s="197">
        <v>44002</v>
      </c>
      <c r="S62" s="197">
        <v>44032</v>
      </c>
      <c r="T62" s="197">
        <v>44063</v>
      </c>
      <c r="U62" s="197">
        <v>44095</v>
      </c>
      <c r="V62" s="197"/>
      <c r="W62" s="197"/>
      <c r="X62" s="197"/>
    </row>
    <row r="63" spans="2:24" ht="17.25" thickBot="1" x14ac:dyDescent="0.35">
      <c r="B63" s="462"/>
      <c r="C63" s="182">
        <v>61605986810</v>
      </c>
      <c r="D63" s="183">
        <v>25</v>
      </c>
      <c r="E63" s="464"/>
      <c r="F63" s="462"/>
      <c r="G63" s="467"/>
      <c r="H63" s="458"/>
      <c r="I63" s="468"/>
      <c r="J63" s="474"/>
      <c r="K63" s="460"/>
      <c r="L63" s="184" t="s">
        <v>460</v>
      </c>
      <c r="M63" s="201">
        <v>43850</v>
      </c>
      <c r="N63" s="201">
        <v>43887</v>
      </c>
      <c r="O63" s="220">
        <v>43915</v>
      </c>
      <c r="P63" s="201">
        <v>43944</v>
      </c>
      <c r="Q63" s="201">
        <v>43974</v>
      </c>
      <c r="R63" s="201">
        <v>44006</v>
      </c>
      <c r="S63" s="201">
        <v>44035</v>
      </c>
      <c r="T63" s="201">
        <v>44068</v>
      </c>
      <c r="U63" s="201">
        <v>44097</v>
      </c>
      <c r="V63" s="198"/>
      <c r="W63" s="198"/>
      <c r="X63" s="198"/>
    </row>
    <row r="64" spans="2:24" ht="17.25" thickTop="1" x14ac:dyDescent="0.3">
      <c r="B64" s="461" t="s">
        <v>43</v>
      </c>
      <c r="C64" s="179">
        <v>2170571205</v>
      </c>
      <c r="D64" s="180" t="s">
        <v>465</v>
      </c>
      <c r="E64" s="463">
        <v>42913</v>
      </c>
      <c r="F64" s="465">
        <v>43277</v>
      </c>
      <c r="G64" s="466">
        <v>100000</v>
      </c>
      <c r="H64" s="457">
        <f t="shared" si="21"/>
        <v>10000</v>
      </c>
      <c r="I64" s="451">
        <v>25</v>
      </c>
      <c r="J64" s="469" t="s">
        <v>70</v>
      </c>
      <c r="K64" s="459"/>
      <c r="L64" s="181" t="s">
        <v>459</v>
      </c>
      <c r="M64" s="197">
        <v>43850</v>
      </c>
      <c r="N64" s="197">
        <v>43881</v>
      </c>
      <c r="O64" s="197">
        <v>43910</v>
      </c>
      <c r="P64" s="197">
        <v>43942</v>
      </c>
      <c r="Q64" s="197">
        <v>43971</v>
      </c>
      <c r="R64" s="197">
        <v>44002</v>
      </c>
      <c r="S64" s="197">
        <v>44032</v>
      </c>
      <c r="T64" s="197">
        <v>44063</v>
      </c>
      <c r="U64" s="197">
        <v>44095</v>
      </c>
      <c r="V64" s="197"/>
      <c r="W64" s="197"/>
      <c r="X64" s="197"/>
    </row>
    <row r="65" spans="2:24" ht="17.25" thickBot="1" x14ac:dyDescent="0.35">
      <c r="B65" s="462"/>
      <c r="C65" s="182">
        <v>91101294751</v>
      </c>
      <c r="D65" s="183">
        <v>31</v>
      </c>
      <c r="E65" s="464"/>
      <c r="F65" s="462"/>
      <c r="G65" s="467"/>
      <c r="H65" s="458"/>
      <c r="I65" s="468"/>
      <c r="J65" s="470"/>
      <c r="K65" s="460"/>
      <c r="L65" s="184" t="s">
        <v>460</v>
      </c>
      <c r="M65" s="201">
        <v>43860</v>
      </c>
      <c r="N65" s="201">
        <v>43888</v>
      </c>
      <c r="O65" s="220">
        <v>43917</v>
      </c>
      <c r="P65" s="201">
        <v>43950</v>
      </c>
      <c r="Q65" s="201">
        <v>43978</v>
      </c>
      <c r="R65" s="199">
        <v>44021</v>
      </c>
      <c r="S65" s="201">
        <v>44041</v>
      </c>
      <c r="T65" s="201">
        <v>44070</v>
      </c>
      <c r="U65" s="201">
        <v>44102</v>
      </c>
      <c r="V65" s="198"/>
      <c r="W65" s="198"/>
      <c r="X65" s="198"/>
    </row>
    <row r="66" spans="2:24" ht="17.25" thickTop="1" x14ac:dyDescent="0.3">
      <c r="B66" s="475" t="s">
        <v>9</v>
      </c>
      <c r="C66" s="207"/>
      <c r="D66" s="208" t="s">
        <v>465</v>
      </c>
      <c r="E66" s="477">
        <v>42583</v>
      </c>
      <c r="F66" s="479">
        <v>43920</v>
      </c>
      <c r="G66" s="480"/>
      <c r="H66" s="482"/>
      <c r="I66" s="488"/>
      <c r="J66" s="484"/>
      <c r="K66" s="509" t="s">
        <v>503</v>
      </c>
      <c r="L66" s="181" t="s">
        <v>459</v>
      </c>
      <c r="M66" s="204" t="s">
        <v>494</v>
      </c>
      <c r="N66" s="204" t="s">
        <v>494</v>
      </c>
      <c r="O66" s="204" t="s">
        <v>494</v>
      </c>
      <c r="P66" s="204" t="s">
        <v>494</v>
      </c>
      <c r="Q66" s="204" t="s">
        <v>494</v>
      </c>
      <c r="R66" s="204" t="s">
        <v>494</v>
      </c>
      <c r="S66" s="204" t="s">
        <v>494</v>
      </c>
      <c r="T66" s="204" t="s">
        <v>494</v>
      </c>
      <c r="U66" s="204" t="s">
        <v>494</v>
      </c>
      <c r="V66" s="204" t="s">
        <v>494</v>
      </c>
      <c r="W66" s="204" t="s">
        <v>494</v>
      </c>
      <c r="X66" s="204" t="s">
        <v>494</v>
      </c>
    </row>
    <row r="67" spans="2:24" ht="17.25" thickBot="1" x14ac:dyDescent="0.35">
      <c r="B67" s="476"/>
      <c r="C67" s="209"/>
      <c r="D67" s="210">
        <v>0</v>
      </c>
      <c r="E67" s="478"/>
      <c r="F67" s="476"/>
      <c r="G67" s="481"/>
      <c r="H67" s="483"/>
      <c r="I67" s="489"/>
      <c r="J67" s="485"/>
      <c r="K67" s="510"/>
      <c r="L67" s="184" t="s">
        <v>460</v>
      </c>
      <c r="M67" s="205" t="s">
        <v>494</v>
      </c>
      <c r="N67" s="205" t="s">
        <v>494</v>
      </c>
      <c r="O67" s="205" t="s">
        <v>494</v>
      </c>
      <c r="P67" s="205" t="s">
        <v>494</v>
      </c>
      <c r="Q67" s="205" t="s">
        <v>494</v>
      </c>
      <c r="R67" s="205" t="s">
        <v>494</v>
      </c>
      <c r="S67" s="205" t="s">
        <v>494</v>
      </c>
      <c r="T67" s="205" t="s">
        <v>494</v>
      </c>
      <c r="U67" s="205" t="s">
        <v>494</v>
      </c>
      <c r="V67" s="205" t="s">
        <v>494</v>
      </c>
      <c r="W67" s="205" t="s">
        <v>494</v>
      </c>
      <c r="X67" s="205" t="s">
        <v>494</v>
      </c>
    </row>
    <row r="68" spans="2:24" ht="17.25" thickTop="1" x14ac:dyDescent="0.3">
      <c r="B68" s="461" t="s">
        <v>10</v>
      </c>
      <c r="C68" s="179">
        <v>7949900526</v>
      </c>
      <c r="D68" s="180" t="s">
        <v>465</v>
      </c>
      <c r="E68" s="463">
        <v>42644</v>
      </c>
      <c r="F68" s="465">
        <v>43100</v>
      </c>
      <c r="G68" s="466">
        <v>120000</v>
      </c>
      <c r="H68" s="457">
        <f t="shared" ref="H68:H92" si="22">G68*0.1</f>
        <v>12000</v>
      </c>
      <c r="I68" s="451">
        <v>25</v>
      </c>
      <c r="J68" s="473" t="s">
        <v>474</v>
      </c>
      <c r="K68" s="459"/>
      <c r="L68" s="181" t="s">
        <v>459</v>
      </c>
      <c r="M68" s="197">
        <v>43850</v>
      </c>
      <c r="N68" s="197">
        <v>43881</v>
      </c>
      <c r="O68" s="197">
        <v>43910</v>
      </c>
      <c r="P68" s="197">
        <v>43942</v>
      </c>
      <c r="Q68" s="197">
        <v>43971</v>
      </c>
      <c r="R68" s="197">
        <v>44002</v>
      </c>
      <c r="S68" s="197">
        <v>44032</v>
      </c>
      <c r="T68" s="197">
        <v>44063</v>
      </c>
      <c r="U68" s="197">
        <v>44095</v>
      </c>
      <c r="V68" s="197"/>
      <c r="W68" s="197"/>
      <c r="X68" s="197"/>
    </row>
    <row r="69" spans="2:24" ht="17.25" thickBot="1" x14ac:dyDescent="0.35">
      <c r="B69" s="462"/>
      <c r="C69" s="226">
        <v>79499005260</v>
      </c>
      <c r="D69" s="183">
        <v>0</v>
      </c>
      <c r="E69" s="464"/>
      <c r="F69" s="462"/>
      <c r="G69" s="467"/>
      <c r="H69" s="458"/>
      <c r="I69" s="468"/>
      <c r="J69" s="474"/>
      <c r="K69" s="460"/>
      <c r="L69" s="184" t="s">
        <v>460</v>
      </c>
      <c r="M69" s="201">
        <v>43861</v>
      </c>
      <c r="N69" s="201">
        <v>43889</v>
      </c>
      <c r="O69" s="220">
        <v>43921</v>
      </c>
      <c r="P69" s="201">
        <v>43949</v>
      </c>
      <c r="Q69" s="201">
        <v>43980</v>
      </c>
      <c r="R69" s="201">
        <v>44012</v>
      </c>
      <c r="S69" s="201">
        <v>44043</v>
      </c>
      <c r="T69" s="201">
        <v>44074</v>
      </c>
      <c r="U69" s="201">
        <v>44103</v>
      </c>
      <c r="V69" s="198"/>
      <c r="W69" s="198"/>
      <c r="X69" s="198"/>
    </row>
    <row r="70" spans="2:24" ht="17.25" thickTop="1" x14ac:dyDescent="0.3">
      <c r="B70" s="461" t="s">
        <v>478</v>
      </c>
      <c r="C70" s="179">
        <v>2178134257</v>
      </c>
      <c r="D70" s="180" t="s">
        <v>465</v>
      </c>
      <c r="E70" s="463">
        <v>43491</v>
      </c>
      <c r="F70" s="465">
        <v>43855</v>
      </c>
      <c r="G70" s="466">
        <v>120000</v>
      </c>
      <c r="H70" s="457">
        <f t="shared" si="22"/>
        <v>12000</v>
      </c>
      <c r="I70" s="451">
        <v>25</v>
      </c>
      <c r="J70" s="469" t="s">
        <v>70</v>
      </c>
      <c r="K70" s="459"/>
      <c r="L70" s="181" t="s">
        <v>459</v>
      </c>
      <c r="M70" s="197">
        <v>43850</v>
      </c>
      <c r="N70" s="197">
        <v>43881</v>
      </c>
      <c r="O70" s="197">
        <v>43910</v>
      </c>
      <c r="P70" s="197">
        <v>43942</v>
      </c>
      <c r="Q70" s="197">
        <v>43971</v>
      </c>
      <c r="R70" s="197">
        <v>44002</v>
      </c>
      <c r="S70" s="197">
        <v>44032</v>
      </c>
      <c r="T70" s="197">
        <v>44063</v>
      </c>
      <c r="U70" s="197">
        <v>44095</v>
      </c>
      <c r="V70" s="197"/>
      <c r="W70" s="197"/>
      <c r="X70" s="197"/>
    </row>
    <row r="71" spans="2:24" ht="17.25" thickBot="1" x14ac:dyDescent="0.35">
      <c r="B71" s="462"/>
      <c r="C71" s="182">
        <v>21781342570</v>
      </c>
      <c r="D71" s="183">
        <v>25</v>
      </c>
      <c r="E71" s="464"/>
      <c r="F71" s="462"/>
      <c r="G71" s="467"/>
      <c r="H71" s="458"/>
      <c r="I71" s="468"/>
      <c r="J71" s="470"/>
      <c r="K71" s="460"/>
      <c r="L71" s="184" t="s">
        <v>460</v>
      </c>
      <c r="M71" s="201">
        <v>43860</v>
      </c>
      <c r="N71" s="201">
        <v>43888</v>
      </c>
      <c r="O71" s="220">
        <v>43917</v>
      </c>
      <c r="P71" s="201">
        <v>43950</v>
      </c>
      <c r="Q71" s="201">
        <v>43978</v>
      </c>
      <c r="R71" s="201">
        <v>44011</v>
      </c>
      <c r="S71" s="201">
        <v>44041</v>
      </c>
      <c r="T71" s="201">
        <v>44070</v>
      </c>
      <c r="U71" s="201">
        <v>44102</v>
      </c>
      <c r="V71" s="198"/>
      <c r="W71" s="198"/>
      <c r="X71" s="198"/>
    </row>
    <row r="72" spans="2:24" ht="17.25" thickTop="1" x14ac:dyDescent="0.3">
      <c r="B72" s="461" t="s">
        <v>44</v>
      </c>
      <c r="C72" s="179">
        <v>2098146752</v>
      </c>
      <c r="D72" s="180" t="s">
        <v>465</v>
      </c>
      <c r="E72" s="463">
        <v>43070</v>
      </c>
      <c r="F72" s="465">
        <v>43465</v>
      </c>
      <c r="G72" s="466">
        <v>100000</v>
      </c>
      <c r="H72" s="457">
        <f t="shared" si="22"/>
        <v>10000</v>
      </c>
      <c r="I72" s="451">
        <v>30</v>
      </c>
      <c r="J72" s="469" t="s">
        <v>70</v>
      </c>
      <c r="K72" s="459"/>
      <c r="L72" s="181" t="s">
        <v>459</v>
      </c>
      <c r="M72" s="197">
        <v>43850</v>
      </c>
      <c r="N72" s="197">
        <v>43881</v>
      </c>
      <c r="O72" s="197">
        <v>43910</v>
      </c>
      <c r="P72" s="197">
        <v>43942</v>
      </c>
      <c r="Q72" s="197">
        <v>43971</v>
      </c>
      <c r="R72" s="197">
        <v>44002</v>
      </c>
      <c r="S72" s="197">
        <v>44032</v>
      </c>
      <c r="T72" s="197">
        <v>44063</v>
      </c>
      <c r="U72" s="197">
        <v>44095</v>
      </c>
      <c r="V72" s="197"/>
      <c r="W72" s="197"/>
      <c r="X72" s="197"/>
    </row>
    <row r="73" spans="2:24" ht="17.25" thickBot="1" x14ac:dyDescent="0.35">
      <c r="B73" s="462"/>
      <c r="C73" s="182">
        <v>20981467520</v>
      </c>
      <c r="D73" s="183">
        <v>31</v>
      </c>
      <c r="E73" s="464"/>
      <c r="F73" s="462"/>
      <c r="G73" s="467"/>
      <c r="H73" s="458"/>
      <c r="I73" s="468"/>
      <c r="J73" s="470"/>
      <c r="K73" s="460"/>
      <c r="L73" s="184" t="s">
        <v>460</v>
      </c>
      <c r="M73" s="201">
        <v>43864</v>
      </c>
      <c r="N73" s="201">
        <v>43894</v>
      </c>
      <c r="O73" s="220">
        <v>43922</v>
      </c>
      <c r="P73" s="201">
        <v>43957</v>
      </c>
      <c r="Q73" s="201">
        <v>43985</v>
      </c>
      <c r="R73" s="201">
        <v>44014</v>
      </c>
      <c r="S73" s="201">
        <v>44046</v>
      </c>
      <c r="T73" s="201">
        <v>44076</v>
      </c>
      <c r="U73" s="198"/>
      <c r="V73" s="198"/>
      <c r="W73" s="198"/>
      <c r="X73" s="198"/>
    </row>
    <row r="74" spans="2:24" ht="17.25" thickTop="1" x14ac:dyDescent="0.3">
      <c r="B74" s="461" t="s">
        <v>479</v>
      </c>
      <c r="C74" s="179">
        <v>2068173551</v>
      </c>
      <c r="D74" s="180" t="s">
        <v>465</v>
      </c>
      <c r="E74" s="463">
        <v>43678</v>
      </c>
      <c r="F74" s="465">
        <v>44043</v>
      </c>
      <c r="G74" s="466">
        <v>70000</v>
      </c>
      <c r="H74" s="457">
        <f t="shared" si="22"/>
        <v>7000</v>
      </c>
      <c r="I74" s="451">
        <v>30</v>
      </c>
      <c r="J74" s="469" t="s">
        <v>70</v>
      </c>
      <c r="K74" s="459"/>
      <c r="L74" s="181" t="s">
        <v>459</v>
      </c>
      <c r="M74" s="197">
        <v>43850</v>
      </c>
      <c r="N74" s="197">
        <v>43881</v>
      </c>
      <c r="O74" s="197">
        <v>43910</v>
      </c>
      <c r="P74" s="197">
        <v>43942</v>
      </c>
      <c r="Q74" s="197">
        <v>43971</v>
      </c>
      <c r="R74" s="197">
        <v>44002</v>
      </c>
      <c r="S74" s="197">
        <v>44032</v>
      </c>
      <c r="T74" s="197">
        <v>44063</v>
      </c>
      <c r="U74" s="197">
        <v>44095</v>
      </c>
      <c r="V74" s="197"/>
      <c r="W74" s="197"/>
      <c r="X74" s="197"/>
    </row>
    <row r="75" spans="2:24" ht="17.25" thickBot="1" x14ac:dyDescent="0.35">
      <c r="B75" s="462"/>
      <c r="C75" s="182">
        <v>20681735510</v>
      </c>
      <c r="D75" s="183">
        <v>0</v>
      </c>
      <c r="E75" s="464"/>
      <c r="F75" s="462"/>
      <c r="G75" s="467"/>
      <c r="H75" s="458"/>
      <c r="I75" s="468"/>
      <c r="J75" s="470"/>
      <c r="K75" s="460"/>
      <c r="L75" s="184" t="s">
        <v>460</v>
      </c>
      <c r="M75" s="201">
        <v>43864</v>
      </c>
      <c r="N75" s="201">
        <v>43894</v>
      </c>
      <c r="O75" s="224">
        <v>43929</v>
      </c>
      <c r="P75" s="201">
        <v>43957</v>
      </c>
      <c r="Q75" s="201">
        <v>43985</v>
      </c>
      <c r="R75" s="201">
        <v>44014</v>
      </c>
      <c r="S75" s="201">
        <v>44046</v>
      </c>
      <c r="T75" s="201">
        <v>44076</v>
      </c>
      <c r="U75" s="198"/>
      <c r="V75" s="198"/>
      <c r="W75" s="198"/>
      <c r="X75" s="198"/>
    </row>
    <row r="76" spans="2:24" s="232" customFormat="1" ht="17.25" thickTop="1" x14ac:dyDescent="0.3">
      <c r="B76" s="441" t="s">
        <v>514</v>
      </c>
      <c r="C76" s="234">
        <v>2178117729</v>
      </c>
      <c r="D76" s="180" t="s">
        <v>465</v>
      </c>
      <c r="E76" s="443">
        <v>44013</v>
      </c>
      <c r="F76" s="445">
        <v>44043</v>
      </c>
      <c r="G76" s="466">
        <v>70000</v>
      </c>
      <c r="H76" s="457">
        <f t="shared" si="22"/>
        <v>7000</v>
      </c>
      <c r="I76" s="451">
        <v>30</v>
      </c>
      <c r="J76" s="469" t="s">
        <v>70</v>
      </c>
      <c r="K76" s="233"/>
      <c r="L76" s="181" t="s">
        <v>459</v>
      </c>
      <c r="M76" s="218"/>
      <c r="N76" s="218"/>
      <c r="O76" s="218"/>
      <c r="P76" s="218"/>
      <c r="Q76" s="218"/>
      <c r="R76" s="219"/>
      <c r="S76" s="197">
        <v>44032</v>
      </c>
      <c r="T76" s="197">
        <v>44063</v>
      </c>
      <c r="U76" s="197">
        <v>44095</v>
      </c>
      <c r="V76" s="197"/>
      <c r="W76" s="197"/>
      <c r="X76" s="197"/>
    </row>
    <row r="77" spans="2:24" s="232" customFormat="1" ht="17.25" thickBot="1" x14ac:dyDescent="0.35">
      <c r="B77" s="519"/>
      <c r="C77" s="234">
        <v>21781177290</v>
      </c>
      <c r="D77" s="183">
        <v>0</v>
      </c>
      <c r="E77" s="520"/>
      <c r="F77" s="519"/>
      <c r="G77" s="467"/>
      <c r="H77" s="458"/>
      <c r="I77" s="468"/>
      <c r="J77" s="470"/>
      <c r="K77" s="233"/>
      <c r="L77" s="184" t="s">
        <v>460</v>
      </c>
      <c r="M77" s="218"/>
      <c r="N77" s="218"/>
      <c r="O77" s="218"/>
      <c r="P77" s="218"/>
      <c r="Q77" s="218"/>
      <c r="R77" s="219"/>
      <c r="S77" s="201">
        <v>44046</v>
      </c>
      <c r="T77" s="201">
        <v>44076</v>
      </c>
      <c r="U77" s="198"/>
      <c r="V77" s="198"/>
      <c r="W77" s="198"/>
      <c r="X77" s="198"/>
    </row>
    <row r="78" spans="2:24" s="225" customFormat="1" ht="17.25" thickTop="1" x14ac:dyDescent="0.3">
      <c r="B78" s="441" t="s">
        <v>501</v>
      </c>
      <c r="C78" s="179">
        <v>2048188820</v>
      </c>
      <c r="D78" s="180" t="s">
        <v>465</v>
      </c>
      <c r="E78" s="443">
        <v>43983</v>
      </c>
      <c r="F78" s="445">
        <v>44347</v>
      </c>
      <c r="G78" s="466">
        <v>250000</v>
      </c>
      <c r="H78" s="457">
        <f t="shared" si="22"/>
        <v>25000</v>
      </c>
      <c r="I78" s="451">
        <v>31</v>
      </c>
      <c r="J78" s="453" t="s">
        <v>70</v>
      </c>
      <c r="K78" s="455"/>
      <c r="L78" s="181" t="s">
        <v>459</v>
      </c>
      <c r="M78" s="202"/>
      <c r="N78" s="202"/>
      <c r="O78" s="202"/>
      <c r="P78" s="202"/>
      <c r="Q78" s="202"/>
      <c r="R78" s="197">
        <v>44002</v>
      </c>
      <c r="S78" s="197">
        <v>44032</v>
      </c>
      <c r="T78" s="197">
        <v>44063</v>
      </c>
      <c r="U78" s="197">
        <v>44095</v>
      </c>
      <c r="V78" s="197"/>
      <c r="W78" s="197"/>
      <c r="X78" s="197"/>
    </row>
    <row r="79" spans="2:24" s="225" customFormat="1" ht="17.25" thickBot="1" x14ac:dyDescent="0.35">
      <c r="B79" s="442"/>
      <c r="C79" s="223">
        <v>20481888200</v>
      </c>
      <c r="D79" s="169" t="s">
        <v>502</v>
      </c>
      <c r="E79" s="444"/>
      <c r="F79" s="446"/>
      <c r="G79" s="467"/>
      <c r="H79" s="458"/>
      <c r="I79" s="452"/>
      <c r="J79" s="454"/>
      <c r="K79" s="456"/>
      <c r="L79" s="184" t="s">
        <v>460</v>
      </c>
      <c r="M79" s="206"/>
      <c r="N79" s="203"/>
      <c r="O79" s="203"/>
      <c r="P79" s="203"/>
      <c r="Q79" s="203"/>
      <c r="R79" s="201">
        <v>44014</v>
      </c>
      <c r="S79" s="201">
        <v>44046</v>
      </c>
      <c r="T79" s="201">
        <v>44076</v>
      </c>
      <c r="U79" s="198"/>
      <c r="V79" s="198"/>
      <c r="W79" s="198"/>
      <c r="X79" s="198"/>
    </row>
    <row r="80" spans="2:24" ht="17.25" thickTop="1" x14ac:dyDescent="0.3">
      <c r="B80" s="461" t="s">
        <v>19</v>
      </c>
      <c r="C80" s="179">
        <v>2108164589</v>
      </c>
      <c r="D80" s="180" t="s">
        <v>465</v>
      </c>
      <c r="E80" s="463">
        <v>42675</v>
      </c>
      <c r="F80" s="465">
        <v>43404</v>
      </c>
      <c r="G80" s="466">
        <v>150000</v>
      </c>
      <c r="H80" s="457">
        <f t="shared" si="22"/>
        <v>15000</v>
      </c>
      <c r="I80" s="451">
        <v>31</v>
      </c>
      <c r="J80" s="473" t="s">
        <v>474</v>
      </c>
      <c r="K80" s="459"/>
      <c r="L80" s="181" t="s">
        <v>459</v>
      </c>
      <c r="M80" s="197">
        <v>43850</v>
      </c>
      <c r="N80" s="197">
        <v>43881</v>
      </c>
      <c r="O80" s="197">
        <v>43910</v>
      </c>
      <c r="P80" s="197">
        <v>43942</v>
      </c>
      <c r="Q80" s="197">
        <v>43971</v>
      </c>
      <c r="R80" s="197">
        <v>44002</v>
      </c>
      <c r="S80" s="197">
        <v>44032</v>
      </c>
      <c r="T80" s="197">
        <v>44063</v>
      </c>
      <c r="U80" s="197">
        <v>44095</v>
      </c>
      <c r="V80" s="197"/>
      <c r="W80" s="193"/>
      <c r="X80" s="197"/>
    </row>
    <row r="81" spans="2:24" ht="17.25" thickBot="1" x14ac:dyDescent="0.35">
      <c r="B81" s="462"/>
      <c r="C81" s="182">
        <v>21081645890</v>
      </c>
      <c r="D81" s="183">
        <v>5</v>
      </c>
      <c r="E81" s="464"/>
      <c r="F81" s="462"/>
      <c r="G81" s="467"/>
      <c r="H81" s="458"/>
      <c r="I81" s="468"/>
      <c r="J81" s="474"/>
      <c r="K81" s="460"/>
      <c r="L81" s="184" t="s">
        <v>460</v>
      </c>
      <c r="M81" s="201">
        <v>43861</v>
      </c>
      <c r="N81" s="201">
        <v>43890</v>
      </c>
      <c r="O81" s="220">
        <v>43921</v>
      </c>
      <c r="P81" s="201">
        <v>43951</v>
      </c>
      <c r="Q81" s="201">
        <v>43980</v>
      </c>
      <c r="R81" s="201">
        <v>44012</v>
      </c>
      <c r="S81" s="201">
        <v>44043</v>
      </c>
      <c r="T81" s="201">
        <v>44074</v>
      </c>
      <c r="U81" s="201">
        <v>44103</v>
      </c>
      <c r="V81" s="198"/>
      <c r="W81" s="194"/>
      <c r="X81" s="198"/>
    </row>
    <row r="82" spans="2:24" ht="18" thickTop="1" thickBot="1" x14ac:dyDescent="0.35">
      <c r="B82" s="461" t="s">
        <v>21</v>
      </c>
      <c r="C82" s="179">
        <v>2100776601</v>
      </c>
      <c r="D82" s="180" t="s">
        <v>465</v>
      </c>
      <c r="E82" s="463">
        <v>43160</v>
      </c>
      <c r="F82" s="465">
        <v>43524</v>
      </c>
      <c r="G82" s="466">
        <v>100000</v>
      </c>
      <c r="H82" s="457">
        <f t="shared" si="22"/>
        <v>10000</v>
      </c>
      <c r="I82" s="451">
        <v>31</v>
      </c>
      <c r="J82" s="469" t="s">
        <v>70</v>
      </c>
      <c r="K82" s="459"/>
      <c r="L82" s="181" t="s">
        <v>459</v>
      </c>
      <c r="M82" s="197">
        <v>43850</v>
      </c>
      <c r="N82" s="197">
        <v>43881</v>
      </c>
      <c r="O82" s="197">
        <v>43910</v>
      </c>
      <c r="P82" s="197">
        <v>43942</v>
      </c>
      <c r="Q82" s="197">
        <v>43971</v>
      </c>
      <c r="R82" s="197">
        <v>44002</v>
      </c>
      <c r="S82" s="197">
        <v>44032</v>
      </c>
      <c r="T82" s="197">
        <v>44063</v>
      </c>
      <c r="U82" s="197">
        <v>44095</v>
      </c>
      <c r="V82" s="197"/>
      <c r="W82" s="197"/>
      <c r="X82" s="197"/>
    </row>
    <row r="83" spans="2:24" ht="18" thickTop="1" thickBot="1" x14ac:dyDescent="0.35">
      <c r="B83" s="462"/>
      <c r="C83" s="182">
        <v>21007766010</v>
      </c>
      <c r="D83" s="183">
        <v>7</v>
      </c>
      <c r="E83" s="464"/>
      <c r="F83" s="462"/>
      <c r="G83" s="467"/>
      <c r="H83" s="458"/>
      <c r="I83" s="468"/>
      <c r="J83" s="470"/>
      <c r="K83" s="460"/>
      <c r="L83" s="184" t="s">
        <v>460</v>
      </c>
      <c r="M83" s="201">
        <v>43864</v>
      </c>
      <c r="N83" s="201">
        <v>43894</v>
      </c>
      <c r="O83" s="220">
        <v>43923</v>
      </c>
      <c r="P83" s="201">
        <v>43957</v>
      </c>
      <c r="Q83" s="201">
        <v>43985</v>
      </c>
      <c r="R83" s="197">
        <v>44002</v>
      </c>
      <c r="S83" s="201">
        <v>44046</v>
      </c>
      <c r="T83" s="201">
        <v>44076</v>
      </c>
      <c r="U83" s="198"/>
      <c r="V83" s="198"/>
      <c r="W83" s="198"/>
      <c r="X83" s="198"/>
    </row>
    <row r="84" spans="2:24" ht="18" thickTop="1" thickBot="1" x14ac:dyDescent="0.35">
      <c r="B84" s="461" t="s">
        <v>22</v>
      </c>
      <c r="C84" s="179">
        <v>6418700345</v>
      </c>
      <c r="D84" s="180" t="s">
        <v>465</v>
      </c>
      <c r="E84" s="463">
        <v>43160</v>
      </c>
      <c r="F84" s="465">
        <v>43524</v>
      </c>
      <c r="G84" s="466">
        <v>80000</v>
      </c>
      <c r="H84" s="457">
        <f t="shared" si="22"/>
        <v>8000</v>
      </c>
      <c r="I84" s="451">
        <v>31</v>
      </c>
      <c r="J84" s="469" t="s">
        <v>70</v>
      </c>
      <c r="K84" s="459"/>
      <c r="L84" s="181" t="s">
        <v>459</v>
      </c>
      <c r="M84" s="197">
        <v>43850</v>
      </c>
      <c r="N84" s="197">
        <v>43881</v>
      </c>
      <c r="O84" s="197">
        <v>43910</v>
      </c>
      <c r="P84" s="197">
        <v>43942</v>
      </c>
      <c r="Q84" s="197">
        <v>43971</v>
      </c>
      <c r="R84" s="201">
        <v>44014</v>
      </c>
      <c r="S84" s="197">
        <v>44032</v>
      </c>
      <c r="T84" s="197">
        <v>44063</v>
      </c>
      <c r="U84" s="197">
        <v>44095</v>
      </c>
      <c r="V84" s="197"/>
      <c r="W84" s="197"/>
      <c r="X84" s="197"/>
    </row>
    <row r="85" spans="2:24" ht="18" thickTop="1" thickBot="1" x14ac:dyDescent="0.35">
      <c r="B85" s="462"/>
      <c r="C85" s="182">
        <v>64187003450</v>
      </c>
      <c r="D85" s="183">
        <v>7</v>
      </c>
      <c r="E85" s="464"/>
      <c r="F85" s="462"/>
      <c r="G85" s="467"/>
      <c r="H85" s="458"/>
      <c r="I85" s="468"/>
      <c r="J85" s="470"/>
      <c r="K85" s="460"/>
      <c r="L85" s="184" t="s">
        <v>460</v>
      </c>
      <c r="M85" s="201">
        <v>43864</v>
      </c>
      <c r="N85" s="201">
        <v>43894</v>
      </c>
      <c r="O85" s="220">
        <v>43923</v>
      </c>
      <c r="P85" s="201">
        <v>43957</v>
      </c>
      <c r="Q85" s="201">
        <v>43985</v>
      </c>
      <c r="R85" s="197">
        <v>44002</v>
      </c>
      <c r="S85" s="201">
        <v>44046</v>
      </c>
      <c r="T85" s="201">
        <v>44076</v>
      </c>
      <c r="U85" s="198"/>
      <c r="V85" s="198"/>
      <c r="W85" s="198"/>
      <c r="X85" s="198"/>
    </row>
    <row r="86" spans="2:24" ht="17.25" thickTop="1" x14ac:dyDescent="0.3">
      <c r="B86" s="461" t="s">
        <v>30</v>
      </c>
      <c r="C86" s="179">
        <v>1130968390</v>
      </c>
      <c r="D86" s="180" t="s">
        <v>465</v>
      </c>
      <c r="E86" s="463">
        <v>43180</v>
      </c>
      <c r="F86" s="465">
        <v>43544</v>
      </c>
      <c r="G86" s="466">
        <v>100000</v>
      </c>
      <c r="H86" s="457">
        <f t="shared" si="22"/>
        <v>10000</v>
      </c>
      <c r="I86" s="451">
        <v>31</v>
      </c>
      <c r="J86" s="469" t="s">
        <v>70</v>
      </c>
      <c r="K86" s="459"/>
      <c r="L86" s="181" t="s">
        <v>459</v>
      </c>
      <c r="M86" s="197">
        <v>43850</v>
      </c>
      <c r="N86" s="197">
        <v>43881</v>
      </c>
      <c r="O86" s="197">
        <v>43910</v>
      </c>
      <c r="P86" s="197">
        <v>43942</v>
      </c>
      <c r="Q86" s="197">
        <v>43971</v>
      </c>
      <c r="R86" s="197">
        <v>44002</v>
      </c>
      <c r="S86" s="197">
        <v>44032</v>
      </c>
      <c r="T86" s="197">
        <v>44063</v>
      </c>
      <c r="U86" s="197">
        <v>44095</v>
      </c>
      <c r="V86" s="197"/>
      <c r="W86" s="197"/>
      <c r="X86" s="197"/>
    </row>
    <row r="87" spans="2:24" ht="17.25" thickBot="1" x14ac:dyDescent="0.35">
      <c r="B87" s="462"/>
      <c r="C87" s="182">
        <v>11309683900</v>
      </c>
      <c r="D87" s="183">
        <v>10</v>
      </c>
      <c r="E87" s="464"/>
      <c r="F87" s="462"/>
      <c r="G87" s="467"/>
      <c r="H87" s="458"/>
      <c r="I87" s="468"/>
      <c r="J87" s="470"/>
      <c r="K87" s="460"/>
      <c r="L87" s="184" t="s">
        <v>460</v>
      </c>
      <c r="M87" s="201">
        <v>43864</v>
      </c>
      <c r="N87" s="201">
        <v>43894</v>
      </c>
      <c r="O87" s="220">
        <v>43923</v>
      </c>
      <c r="P87" s="201">
        <v>43957</v>
      </c>
      <c r="Q87" s="201">
        <v>43985</v>
      </c>
      <c r="R87" s="201">
        <v>44014</v>
      </c>
      <c r="S87" s="201">
        <v>44046</v>
      </c>
      <c r="T87" s="199">
        <v>44083</v>
      </c>
      <c r="U87" s="198"/>
      <c r="V87" s="198"/>
      <c r="W87" s="198"/>
      <c r="X87" s="198"/>
    </row>
    <row r="88" spans="2:24" ht="17.25" thickTop="1" x14ac:dyDescent="0.3">
      <c r="B88" s="461" t="s">
        <v>33</v>
      </c>
      <c r="C88" s="179">
        <v>1278184338</v>
      </c>
      <c r="D88" s="180" t="s">
        <v>465</v>
      </c>
      <c r="E88" s="463">
        <v>43132</v>
      </c>
      <c r="F88" s="465">
        <v>43312</v>
      </c>
      <c r="G88" s="466">
        <v>300000</v>
      </c>
      <c r="H88" s="457">
        <f t="shared" si="22"/>
        <v>30000</v>
      </c>
      <c r="I88" s="451">
        <v>31</v>
      </c>
      <c r="J88" s="469" t="s">
        <v>70</v>
      </c>
      <c r="K88" s="459"/>
      <c r="L88" s="181" t="s">
        <v>459</v>
      </c>
      <c r="M88" s="197">
        <v>43850</v>
      </c>
      <c r="N88" s="197">
        <v>43881</v>
      </c>
      <c r="O88" s="197">
        <v>43910</v>
      </c>
      <c r="P88" s="197">
        <v>43942</v>
      </c>
      <c r="Q88" s="197">
        <v>43971</v>
      </c>
      <c r="R88" s="197">
        <v>44002</v>
      </c>
      <c r="S88" s="197">
        <v>44032</v>
      </c>
      <c r="T88" s="197">
        <v>44063</v>
      </c>
      <c r="U88" s="197">
        <v>44095</v>
      </c>
      <c r="V88" s="197"/>
      <c r="W88" s="197"/>
      <c r="X88" s="197"/>
    </row>
    <row r="89" spans="2:24" ht="17.25" thickBot="1" x14ac:dyDescent="0.35">
      <c r="B89" s="462"/>
      <c r="C89" s="182">
        <v>12781843380</v>
      </c>
      <c r="D89" s="183">
        <v>11</v>
      </c>
      <c r="E89" s="464"/>
      <c r="F89" s="462"/>
      <c r="G89" s="467"/>
      <c r="H89" s="458"/>
      <c r="I89" s="468"/>
      <c r="J89" s="470"/>
      <c r="K89" s="460"/>
      <c r="L89" s="184" t="s">
        <v>460</v>
      </c>
      <c r="M89" s="201">
        <v>43864</v>
      </c>
      <c r="N89" s="201">
        <v>43894</v>
      </c>
      <c r="O89" s="220">
        <v>43923</v>
      </c>
      <c r="P89" s="201">
        <v>43957</v>
      </c>
      <c r="Q89" s="201">
        <v>43985</v>
      </c>
      <c r="R89" s="201">
        <v>44014</v>
      </c>
      <c r="S89" s="201">
        <v>44046</v>
      </c>
      <c r="T89" s="201">
        <v>44076</v>
      </c>
      <c r="U89" s="198"/>
      <c r="V89" s="198"/>
      <c r="W89" s="198"/>
      <c r="X89" s="198"/>
    </row>
    <row r="90" spans="2:24" ht="17.25" thickTop="1" x14ac:dyDescent="0.3">
      <c r="B90" s="461" t="s">
        <v>480</v>
      </c>
      <c r="C90" s="179">
        <v>7488000706</v>
      </c>
      <c r="D90" s="180" t="s">
        <v>465</v>
      </c>
      <c r="E90" s="463">
        <v>42917</v>
      </c>
      <c r="F90" s="465">
        <v>43281</v>
      </c>
      <c r="G90" s="466">
        <v>150000</v>
      </c>
      <c r="H90" s="457">
        <f t="shared" si="22"/>
        <v>15000</v>
      </c>
      <c r="I90" s="451">
        <v>31</v>
      </c>
      <c r="J90" s="469" t="s">
        <v>70</v>
      </c>
      <c r="K90" s="459"/>
      <c r="L90" s="181" t="s">
        <v>459</v>
      </c>
      <c r="M90" s="197">
        <v>43850</v>
      </c>
      <c r="N90" s="197">
        <v>43881</v>
      </c>
      <c r="O90" s="197">
        <v>43910</v>
      </c>
      <c r="P90" s="197">
        <v>43942</v>
      </c>
      <c r="Q90" s="197">
        <v>43971</v>
      </c>
      <c r="R90" s="197">
        <v>44002</v>
      </c>
      <c r="S90" s="197">
        <v>44032</v>
      </c>
      <c r="T90" s="197">
        <v>44063</v>
      </c>
      <c r="U90" s="197">
        <v>44095</v>
      </c>
      <c r="V90" s="197"/>
      <c r="W90" s="197"/>
      <c r="X90" s="197"/>
    </row>
    <row r="91" spans="2:24" ht="17.25" thickBot="1" x14ac:dyDescent="0.35">
      <c r="B91" s="462"/>
      <c r="C91" s="182">
        <v>74880007060</v>
      </c>
      <c r="D91" s="183">
        <v>31</v>
      </c>
      <c r="E91" s="464"/>
      <c r="F91" s="462"/>
      <c r="G91" s="467"/>
      <c r="H91" s="458"/>
      <c r="I91" s="468"/>
      <c r="J91" s="470"/>
      <c r="K91" s="460"/>
      <c r="L91" s="184" t="s">
        <v>460</v>
      </c>
      <c r="M91" s="201">
        <v>43864</v>
      </c>
      <c r="N91" s="201">
        <v>43894</v>
      </c>
      <c r="O91" s="220">
        <v>43923</v>
      </c>
      <c r="P91" s="201">
        <v>43957</v>
      </c>
      <c r="Q91" s="201">
        <v>43985</v>
      </c>
      <c r="R91" s="201">
        <v>44014</v>
      </c>
      <c r="S91" s="201">
        <v>44046</v>
      </c>
      <c r="T91" s="201">
        <v>44076</v>
      </c>
      <c r="U91" s="198"/>
      <c r="V91" s="198"/>
      <c r="W91" s="198"/>
      <c r="X91" s="198"/>
    </row>
    <row r="92" spans="2:24" ht="17.25" thickTop="1" x14ac:dyDescent="0.3">
      <c r="B92" s="461" t="s">
        <v>481</v>
      </c>
      <c r="C92" s="179">
        <v>2258600020</v>
      </c>
      <c r="D92" s="180" t="s">
        <v>465</v>
      </c>
      <c r="E92" s="463">
        <v>43586</v>
      </c>
      <c r="F92" s="465">
        <v>43951</v>
      </c>
      <c r="G92" s="466">
        <v>100000</v>
      </c>
      <c r="H92" s="457">
        <f t="shared" si="22"/>
        <v>10000</v>
      </c>
      <c r="I92" s="451">
        <v>31</v>
      </c>
      <c r="J92" s="469" t="s">
        <v>70</v>
      </c>
      <c r="K92" s="459"/>
      <c r="L92" s="181" t="s">
        <v>459</v>
      </c>
      <c r="M92" s="197">
        <v>43850</v>
      </c>
      <c r="N92" s="197">
        <v>43881</v>
      </c>
      <c r="O92" s="197">
        <v>43910</v>
      </c>
      <c r="P92" s="197">
        <v>43942</v>
      </c>
      <c r="Q92" s="197">
        <v>43971</v>
      </c>
      <c r="R92" s="197">
        <v>44002</v>
      </c>
      <c r="S92" s="197">
        <v>44032</v>
      </c>
      <c r="T92" s="197">
        <v>44063</v>
      </c>
      <c r="U92" s="197">
        <v>44095</v>
      </c>
      <c r="V92" s="197"/>
      <c r="W92" s="197"/>
      <c r="X92" s="197"/>
    </row>
    <row r="93" spans="2:24" ht="17.25" thickBot="1" x14ac:dyDescent="0.35">
      <c r="B93" s="462"/>
      <c r="C93" s="182">
        <v>22586000200</v>
      </c>
      <c r="D93" s="183">
        <v>31</v>
      </c>
      <c r="E93" s="464"/>
      <c r="F93" s="462"/>
      <c r="G93" s="467"/>
      <c r="H93" s="458"/>
      <c r="I93" s="468"/>
      <c r="J93" s="470"/>
      <c r="K93" s="460"/>
      <c r="L93" s="184" t="s">
        <v>460</v>
      </c>
      <c r="M93" s="201">
        <v>43864</v>
      </c>
      <c r="N93" s="201">
        <v>43894</v>
      </c>
      <c r="O93" s="220">
        <v>43923</v>
      </c>
      <c r="P93" s="201">
        <v>43957</v>
      </c>
      <c r="Q93" s="201">
        <v>43985</v>
      </c>
      <c r="R93" s="201">
        <v>44014</v>
      </c>
      <c r="S93" s="201">
        <v>44046</v>
      </c>
      <c r="T93" s="201">
        <v>44076</v>
      </c>
      <c r="U93" s="198"/>
      <c r="V93" s="198"/>
      <c r="W93" s="198"/>
      <c r="X93" s="198"/>
    </row>
    <row r="94" spans="2:24" ht="18" thickTop="1" thickBot="1" x14ac:dyDescent="0.35">
      <c r="B94" s="475" t="s">
        <v>482</v>
      </c>
      <c r="C94" s="207">
        <v>7438101019</v>
      </c>
      <c r="D94" s="208" t="s">
        <v>465</v>
      </c>
      <c r="E94" s="477">
        <v>43586</v>
      </c>
      <c r="F94" s="479">
        <v>43951</v>
      </c>
      <c r="G94" s="480"/>
      <c r="H94" s="482"/>
      <c r="I94" s="488"/>
      <c r="J94" s="484"/>
      <c r="K94" s="509" t="s">
        <v>506</v>
      </c>
      <c r="L94" s="181" t="s">
        <v>459</v>
      </c>
      <c r="M94" s="197">
        <v>43850</v>
      </c>
      <c r="N94" s="197">
        <v>43881</v>
      </c>
      <c r="O94" s="197">
        <v>43910</v>
      </c>
      <c r="P94" s="197">
        <v>43942</v>
      </c>
      <c r="Q94" s="202"/>
      <c r="R94" s="202"/>
      <c r="S94" s="202"/>
      <c r="T94" s="202"/>
      <c r="U94" s="202"/>
      <c r="V94" s="202"/>
      <c r="W94" s="202"/>
      <c r="X94" s="202"/>
    </row>
    <row r="95" spans="2:24" ht="18" thickTop="1" thickBot="1" x14ac:dyDescent="0.35">
      <c r="B95" s="476"/>
      <c r="C95" s="209">
        <v>74381010190</v>
      </c>
      <c r="D95" s="210">
        <v>0</v>
      </c>
      <c r="E95" s="478"/>
      <c r="F95" s="476"/>
      <c r="G95" s="481"/>
      <c r="H95" s="483"/>
      <c r="I95" s="489"/>
      <c r="J95" s="485"/>
      <c r="K95" s="510"/>
      <c r="L95" s="214" t="s">
        <v>460</v>
      </c>
      <c r="M95" s="220">
        <v>43864</v>
      </c>
      <c r="N95" s="220">
        <v>43894</v>
      </c>
      <c r="O95" s="224">
        <v>43950</v>
      </c>
      <c r="P95" s="201">
        <v>43957</v>
      </c>
      <c r="Q95" s="216"/>
      <c r="R95" s="216"/>
      <c r="S95" s="216"/>
      <c r="T95" s="202"/>
      <c r="U95" s="202"/>
      <c r="V95" s="202"/>
      <c r="W95" s="202"/>
      <c r="X95" s="202"/>
    </row>
    <row r="96" spans="2:24" s="212" customFormat="1" ht="18" thickTop="1" thickBot="1" x14ac:dyDescent="0.35">
      <c r="B96" s="475" t="s">
        <v>497</v>
      </c>
      <c r="C96" s="207">
        <v>1418114158</v>
      </c>
      <c r="D96" s="208" t="s">
        <v>465</v>
      </c>
      <c r="E96" s="477">
        <v>43922</v>
      </c>
      <c r="F96" s="479">
        <v>44196</v>
      </c>
      <c r="G96" s="480"/>
      <c r="H96" s="482"/>
      <c r="I96" s="488"/>
      <c r="J96" s="484"/>
      <c r="K96" s="509" t="s">
        <v>549</v>
      </c>
      <c r="L96" s="181" t="s">
        <v>459</v>
      </c>
      <c r="M96" s="221"/>
      <c r="N96" s="221"/>
      <c r="O96" s="222"/>
      <c r="P96" s="197">
        <v>43942</v>
      </c>
      <c r="Q96" s="197">
        <v>43971</v>
      </c>
      <c r="R96" s="197">
        <v>44002</v>
      </c>
      <c r="S96" s="197">
        <v>44032</v>
      </c>
      <c r="T96" s="202"/>
      <c r="U96" s="202"/>
      <c r="V96" s="202"/>
      <c r="W96" s="202"/>
      <c r="X96" s="202"/>
    </row>
    <row r="97" spans="2:24" s="212" customFormat="1" ht="18" thickTop="1" thickBot="1" x14ac:dyDescent="0.35">
      <c r="B97" s="476"/>
      <c r="C97" s="209">
        <v>14181141580</v>
      </c>
      <c r="D97" s="210">
        <v>0</v>
      </c>
      <c r="E97" s="478"/>
      <c r="F97" s="476"/>
      <c r="G97" s="481"/>
      <c r="H97" s="483"/>
      <c r="I97" s="489"/>
      <c r="J97" s="485"/>
      <c r="K97" s="510"/>
      <c r="L97" s="214" t="s">
        <v>460</v>
      </c>
      <c r="M97" s="218"/>
      <c r="N97" s="218"/>
      <c r="O97" s="219"/>
      <c r="P97" s="201">
        <v>43957</v>
      </c>
      <c r="Q97" s="201">
        <v>43985</v>
      </c>
      <c r="R97" s="201">
        <v>44014</v>
      </c>
      <c r="S97" s="201">
        <v>44046</v>
      </c>
      <c r="T97" s="202"/>
      <c r="U97" s="202"/>
      <c r="V97" s="202"/>
      <c r="W97" s="202"/>
      <c r="X97" s="202"/>
    </row>
    <row r="98" spans="2:24" s="212" customFormat="1" ht="17.25" thickTop="1" x14ac:dyDescent="0.3">
      <c r="B98" s="441" t="s">
        <v>495</v>
      </c>
      <c r="C98" s="179">
        <v>5984500565</v>
      </c>
      <c r="D98" s="180" t="s">
        <v>465</v>
      </c>
      <c r="E98" s="443">
        <v>43586</v>
      </c>
      <c r="F98" s="445">
        <v>43951</v>
      </c>
      <c r="G98" s="447">
        <v>100000</v>
      </c>
      <c r="H98" s="457">
        <f t="shared" ref="H98:H104" si="23">G98*0.1</f>
        <v>10000</v>
      </c>
      <c r="I98" s="451">
        <v>31</v>
      </c>
      <c r="J98" s="453" t="s">
        <v>70</v>
      </c>
      <c r="K98" s="455"/>
      <c r="L98" s="181" t="s">
        <v>459</v>
      </c>
      <c r="M98" s="202"/>
      <c r="N98" s="202"/>
      <c r="O98" s="197">
        <v>43910</v>
      </c>
      <c r="P98" s="197">
        <v>43942</v>
      </c>
      <c r="Q98" s="197">
        <v>43971</v>
      </c>
      <c r="R98" s="197">
        <v>44002</v>
      </c>
      <c r="S98" s="197">
        <v>44032</v>
      </c>
      <c r="T98" s="197">
        <v>44063</v>
      </c>
      <c r="U98" s="197">
        <v>44095</v>
      </c>
      <c r="V98" s="197"/>
      <c r="W98" s="197"/>
      <c r="X98" s="197"/>
    </row>
    <row r="99" spans="2:24" s="212" customFormat="1" ht="17.25" thickBot="1" x14ac:dyDescent="0.35">
      <c r="B99" s="528"/>
      <c r="C99" s="168">
        <v>59845005650</v>
      </c>
      <c r="D99" s="211">
        <v>10</v>
      </c>
      <c r="E99" s="529"/>
      <c r="F99" s="530"/>
      <c r="G99" s="531"/>
      <c r="H99" s="458"/>
      <c r="I99" s="532"/>
      <c r="J99" s="471"/>
      <c r="K99" s="472"/>
      <c r="L99" s="214" t="s">
        <v>460</v>
      </c>
      <c r="M99" s="215"/>
      <c r="N99" s="216"/>
      <c r="O99" s="220">
        <v>43923</v>
      </c>
      <c r="P99" s="201">
        <v>43957</v>
      </c>
      <c r="Q99" s="201">
        <v>43985</v>
      </c>
      <c r="R99" s="201">
        <v>44014</v>
      </c>
      <c r="S99" s="201">
        <v>44046</v>
      </c>
      <c r="T99" s="201">
        <v>44076</v>
      </c>
      <c r="U99" s="198"/>
      <c r="V99" s="217"/>
      <c r="W99" s="217"/>
      <c r="X99" s="217"/>
    </row>
    <row r="100" spans="2:24" s="212" customFormat="1" ht="17.25" thickTop="1" x14ac:dyDescent="0.3">
      <c r="B100" s="441" t="s">
        <v>496</v>
      </c>
      <c r="C100" s="179">
        <v>1190895199</v>
      </c>
      <c r="D100" s="180" t="s">
        <v>465</v>
      </c>
      <c r="E100" s="443">
        <v>43586</v>
      </c>
      <c r="F100" s="445">
        <v>43951</v>
      </c>
      <c r="G100" s="447">
        <v>70000</v>
      </c>
      <c r="H100" s="457">
        <f t="shared" si="23"/>
        <v>7000</v>
      </c>
      <c r="I100" s="451">
        <v>31</v>
      </c>
      <c r="J100" s="453" t="s">
        <v>70</v>
      </c>
      <c r="K100" s="455"/>
      <c r="L100" s="181" t="s">
        <v>459</v>
      </c>
      <c r="M100" s="202"/>
      <c r="N100" s="202"/>
      <c r="O100" s="197">
        <v>43910</v>
      </c>
      <c r="P100" s="197">
        <v>43942</v>
      </c>
      <c r="Q100" s="197">
        <v>43971</v>
      </c>
      <c r="R100" s="197">
        <v>44002</v>
      </c>
      <c r="S100" s="197">
        <v>44032</v>
      </c>
      <c r="T100" s="197">
        <v>44063</v>
      </c>
      <c r="U100" s="197">
        <v>44095</v>
      </c>
      <c r="V100" s="197"/>
      <c r="W100" s="197"/>
      <c r="X100" s="197"/>
    </row>
    <row r="101" spans="2:24" s="212" customFormat="1" ht="17.25" thickBot="1" x14ac:dyDescent="0.35">
      <c r="B101" s="442"/>
      <c r="C101" s="223">
        <v>11908951990</v>
      </c>
      <c r="D101" s="169">
        <v>10</v>
      </c>
      <c r="E101" s="444"/>
      <c r="F101" s="446"/>
      <c r="G101" s="448"/>
      <c r="H101" s="458"/>
      <c r="I101" s="452"/>
      <c r="J101" s="454"/>
      <c r="K101" s="456"/>
      <c r="L101" s="184" t="s">
        <v>460</v>
      </c>
      <c r="M101" s="206"/>
      <c r="N101" s="203"/>
      <c r="O101" s="220">
        <v>43923</v>
      </c>
      <c r="P101" s="201">
        <v>43957</v>
      </c>
      <c r="Q101" s="201">
        <v>43985</v>
      </c>
      <c r="R101" s="201">
        <v>44014</v>
      </c>
      <c r="S101" s="201">
        <v>44046</v>
      </c>
      <c r="T101" s="201">
        <v>44076</v>
      </c>
      <c r="U101" s="198"/>
      <c r="V101" s="198"/>
      <c r="W101" s="198"/>
      <c r="X101" s="198"/>
    </row>
    <row r="102" spans="2:24" s="239" customFormat="1" ht="18" thickTop="1" thickBot="1" x14ac:dyDescent="0.35">
      <c r="B102" s="441" t="s">
        <v>541</v>
      </c>
      <c r="C102" s="179">
        <v>5010492826</v>
      </c>
      <c r="D102" s="180" t="s">
        <v>515</v>
      </c>
      <c r="E102" s="443">
        <v>44013</v>
      </c>
      <c r="F102" s="445">
        <v>44377</v>
      </c>
      <c r="G102" s="447">
        <v>100000</v>
      </c>
      <c r="H102" s="457">
        <f t="shared" si="23"/>
        <v>10000</v>
      </c>
      <c r="I102" s="451">
        <v>31</v>
      </c>
      <c r="J102" s="453" t="s">
        <v>70</v>
      </c>
      <c r="K102" s="455"/>
      <c r="L102" s="181" t="s">
        <v>459</v>
      </c>
      <c r="M102" s="215"/>
      <c r="N102" s="216"/>
      <c r="O102" s="215"/>
      <c r="P102" s="216"/>
      <c r="Q102" s="215"/>
      <c r="R102" s="216"/>
      <c r="S102" s="197">
        <v>44032</v>
      </c>
      <c r="T102" s="197">
        <v>44063</v>
      </c>
      <c r="U102" s="197">
        <v>44095</v>
      </c>
      <c r="V102" s="197"/>
      <c r="W102" s="197"/>
      <c r="X102" s="197"/>
    </row>
    <row r="103" spans="2:24" s="239" customFormat="1" ht="18" thickTop="1" thickBot="1" x14ac:dyDescent="0.35">
      <c r="B103" s="442"/>
      <c r="C103" s="179">
        <v>50104928260</v>
      </c>
      <c r="D103" s="240" t="s">
        <v>543</v>
      </c>
      <c r="E103" s="444"/>
      <c r="F103" s="446"/>
      <c r="G103" s="448"/>
      <c r="H103" s="458"/>
      <c r="I103" s="452"/>
      <c r="J103" s="454"/>
      <c r="K103" s="456"/>
      <c r="L103" s="184" t="s">
        <v>460</v>
      </c>
      <c r="M103" s="215"/>
      <c r="N103" s="216"/>
      <c r="O103" s="215"/>
      <c r="P103" s="216"/>
      <c r="Q103" s="215"/>
      <c r="R103" s="216"/>
      <c r="S103" s="201">
        <v>44046</v>
      </c>
      <c r="T103" s="201">
        <v>44076</v>
      </c>
      <c r="U103" s="198"/>
      <c r="V103" s="198"/>
      <c r="W103" s="198"/>
      <c r="X103" s="198"/>
    </row>
    <row r="104" spans="2:24" s="239" customFormat="1" ht="18" thickTop="1" thickBot="1" x14ac:dyDescent="0.35">
      <c r="B104" s="441" t="s">
        <v>542</v>
      </c>
      <c r="C104" s="179">
        <v>2377700230</v>
      </c>
      <c r="D104" s="180" t="s">
        <v>515</v>
      </c>
      <c r="E104" s="443">
        <v>44013</v>
      </c>
      <c r="F104" s="445">
        <v>44377</v>
      </c>
      <c r="G104" s="447">
        <v>100000</v>
      </c>
      <c r="H104" s="457">
        <f t="shared" si="23"/>
        <v>10000</v>
      </c>
      <c r="I104" s="451">
        <v>31</v>
      </c>
      <c r="J104" s="453" t="s">
        <v>70</v>
      </c>
      <c r="K104" s="455"/>
      <c r="L104" s="181" t="s">
        <v>459</v>
      </c>
      <c r="M104" s="215"/>
      <c r="N104" s="216"/>
      <c r="O104" s="215"/>
      <c r="P104" s="216"/>
      <c r="Q104" s="215"/>
      <c r="R104" s="216"/>
      <c r="S104" s="197">
        <v>44032</v>
      </c>
      <c r="T104" s="197">
        <v>44063</v>
      </c>
      <c r="U104" s="197">
        <v>44095</v>
      </c>
      <c r="V104" s="197"/>
      <c r="W104" s="197"/>
      <c r="X104" s="197"/>
    </row>
    <row r="105" spans="2:24" s="239" customFormat="1" ht="18" thickTop="1" thickBot="1" x14ac:dyDescent="0.35">
      <c r="B105" s="442"/>
      <c r="C105" s="179">
        <v>23777002300</v>
      </c>
      <c r="D105" s="240" t="s">
        <v>543</v>
      </c>
      <c r="E105" s="444"/>
      <c r="F105" s="446"/>
      <c r="G105" s="448"/>
      <c r="H105" s="458"/>
      <c r="I105" s="452"/>
      <c r="J105" s="454"/>
      <c r="K105" s="456"/>
      <c r="L105" s="184" t="s">
        <v>460</v>
      </c>
      <c r="M105" s="215"/>
      <c r="N105" s="216"/>
      <c r="O105" s="215"/>
      <c r="P105" s="216"/>
      <c r="Q105" s="215"/>
      <c r="R105" s="216"/>
      <c r="S105" s="201">
        <v>44046</v>
      </c>
      <c r="T105" s="201">
        <v>44076</v>
      </c>
      <c r="U105" s="198"/>
      <c r="V105" s="198"/>
      <c r="W105" s="198"/>
      <c r="X105" s="198"/>
    </row>
    <row r="106" spans="2:24" s="249" customFormat="1" ht="18" thickTop="1" thickBot="1" x14ac:dyDescent="0.35">
      <c r="B106" s="441" t="s">
        <v>550</v>
      </c>
      <c r="C106" s="179">
        <v>2326500187</v>
      </c>
      <c r="D106" s="180" t="s">
        <v>515</v>
      </c>
      <c r="E106" s="443">
        <v>44075</v>
      </c>
      <c r="F106" s="445">
        <v>44438</v>
      </c>
      <c r="G106" s="447">
        <v>100000</v>
      </c>
      <c r="H106" s="457">
        <f t="shared" ref="H106" si="24">G106*0.1</f>
        <v>10000</v>
      </c>
      <c r="I106" s="451">
        <v>31</v>
      </c>
      <c r="J106" s="453" t="s">
        <v>70</v>
      </c>
      <c r="K106" s="455"/>
      <c r="L106" s="181" t="s">
        <v>459</v>
      </c>
      <c r="M106" s="215"/>
      <c r="N106" s="216"/>
      <c r="O106" s="215"/>
      <c r="P106" s="216"/>
      <c r="Q106" s="215"/>
      <c r="R106" s="216"/>
      <c r="S106" s="216"/>
      <c r="T106" s="216"/>
      <c r="U106" s="197">
        <v>44095</v>
      </c>
      <c r="V106" s="197"/>
      <c r="W106" s="197"/>
      <c r="X106" s="197"/>
    </row>
    <row r="107" spans="2:24" s="249" customFormat="1" ht="18" thickTop="1" thickBot="1" x14ac:dyDescent="0.35">
      <c r="B107" s="442"/>
      <c r="C107" s="179">
        <v>23265001870</v>
      </c>
      <c r="D107" s="240" t="s">
        <v>543</v>
      </c>
      <c r="E107" s="444"/>
      <c r="F107" s="446"/>
      <c r="G107" s="448"/>
      <c r="H107" s="458"/>
      <c r="I107" s="452"/>
      <c r="J107" s="454"/>
      <c r="K107" s="456"/>
      <c r="L107" s="184" t="s">
        <v>460</v>
      </c>
      <c r="M107" s="215"/>
      <c r="N107" s="216"/>
      <c r="O107" s="215"/>
      <c r="P107" s="216"/>
      <c r="Q107" s="215"/>
      <c r="R107" s="216"/>
      <c r="S107" s="216"/>
      <c r="T107" s="216"/>
      <c r="U107" s="198"/>
      <c r="V107" s="198"/>
      <c r="W107" s="198"/>
      <c r="X107" s="198"/>
    </row>
    <row r="108" spans="2:24" s="250" customFormat="1" ht="18" thickTop="1" thickBot="1" x14ac:dyDescent="0.35">
      <c r="B108" s="441" t="s">
        <v>551</v>
      </c>
      <c r="C108" s="179">
        <v>4959201221</v>
      </c>
      <c r="D108" s="180" t="s">
        <v>515</v>
      </c>
      <c r="E108" s="443">
        <v>44075</v>
      </c>
      <c r="F108" s="445">
        <v>44438</v>
      </c>
      <c r="G108" s="447">
        <v>100000</v>
      </c>
      <c r="H108" s="449">
        <f t="shared" ref="H108" si="25">G108*0.1</f>
        <v>10000</v>
      </c>
      <c r="I108" s="451">
        <v>31</v>
      </c>
      <c r="J108" s="453" t="s">
        <v>70</v>
      </c>
      <c r="K108" s="455"/>
      <c r="L108" s="181" t="s">
        <v>459</v>
      </c>
      <c r="M108" s="215"/>
      <c r="N108" s="216"/>
      <c r="O108" s="215"/>
      <c r="P108" s="216"/>
      <c r="Q108" s="215"/>
      <c r="R108" s="216"/>
      <c r="S108" s="216"/>
      <c r="T108" s="216"/>
      <c r="U108" s="216"/>
      <c r="V108" s="217"/>
      <c r="W108" s="217"/>
      <c r="X108" s="217"/>
    </row>
    <row r="109" spans="2:24" s="250" customFormat="1" ht="18" thickTop="1" thickBot="1" x14ac:dyDescent="0.35">
      <c r="B109" s="442"/>
      <c r="C109" s="179">
        <v>49592012210</v>
      </c>
      <c r="D109" s="240" t="s">
        <v>543</v>
      </c>
      <c r="E109" s="444"/>
      <c r="F109" s="446"/>
      <c r="G109" s="448"/>
      <c r="H109" s="450"/>
      <c r="I109" s="452"/>
      <c r="J109" s="454"/>
      <c r="K109" s="456"/>
      <c r="L109" s="184" t="s">
        <v>460</v>
      </c>
      <c r="M109" s="215"/>
      <c r="N109" s="216"/>
      <c r="O109" s="215"/>
      <c r="P109" s="216"/>
      <c r="Q109" s="215"/>
      <c r="R109" s="216"/>
      <c r="S109" s="216"/>
      <c r="T109" s="216"/>
      <c r="U109" s="216"/>
      <c r="V109" s="217"/>
      <c r="W109" s="217"/>
      <c r="X109" s="217"/>
    </row>
    <row r="110" spans="2:24" ht="16.5" customHeight="1" thickTop="1" x14ac:dyDescent="0.3">
      <c r="B110" s="521" t="s">
        <v>371</v>
      </c>
      <c r="C110" s="522">
        <f>COUNTA($J$4:$J$109)</f>
        <v>47</v>
      </c>
      <c r="D110" s="522"/>
      <c r="E110" s="522"/>
      <c r="F110" s="522"/>
      <c r="G110" s="524">
        <f>SUBTOTAL(109,G4:G109)</f>
        <v>6190000</v>
      </c>
      <c r="H110" s="524">
        <f>SUBTOTAL(109,H4:H109)</f>
        <v>619000</v>
      </c>
      <c r="I110" s="526">
        <f>SUM(G110:H111)</f>
        <v>6809000</v>
      </c>
      <c r="J110" s="165" t="s">
        <v>436</v>
      </c>
      <c r="K110" s="176">
        <f>COUNTIF($J$4:$J$109,J110)</f>
        <v>41</v>
      </c>
      <c r="L110" s="177"/>
      <c r="M110" s="164"/>
      <c r="N110" s="164"/>
      <c r="O110" s="164"/>
      <c r="P110" s="164"/>
      <c r="Q110" s="164"/>
      <c r="R110" s="164"/>
      <c r="S110" s="164"/>
      <c r="T110" s="164"/>
      <c r="U110" s="164"/>
      <c r="V110" s="164"/>
      <c r="W110" s="164"/>
      <c r="X110" s="164"/>
    </row>
    <row r="111" spans="2:24" x14ac:dyDescent="0.3">
      <c r="B111" s="521"/>
      <c r="C111" s="523"/>
      <c r="D111" s="523"/>
      <c r="E111" s="523"/>
      <c r="F111" s="523"/>
      <c r="G111" s="525"/>
      <c r="H111" s="525"/>
      <c r="I111" s="527"/>
      <c r="J111" s="165" t="s">
        <v>408</v>
      </c>
      <c r="K111" s="176">
        <f>COUNTIF($J$4:$J$109,J111)</f>
        <v>6</v>
      </c>
      <c r="L111" s="178"/>
      <c r="M111" s="164"/>
      <c r="N111" s="164"/>
      <c r="O111" s="164"/>
      <c r="P111" s="164"/>
      <c r="Q111" s="164"/>
      <c r="R111" s="164"/>
      <c r="S111" s="164"/>
      <c r="T111" s="164"/>
      <c r="U111" s="164"/>
      <c r="V111" s="164"/>
      <c r="W111" s="164"/>
      <c r="X111" s="164"/>
    </row>
    <row r="112" spans="2:24" x14ac:dyDescent="0.3">
      <c r="G112" s="241"/>
    </row>
    <row r="113" spans="3:4" x14ac:dyDescent="0.3">
      <c r="C113" s="213"/>
      <c r="D113" s="213"/>
    </row>
    <row r="114" spans="3:4" x14ac:dyDescent="0.3">
      <c r="C114" s="213"/>
      <c r="D114" s="213"/>
    </row>
  </sheetData>
  <mergeCells count="434">
    <mergeCell ref="J28:J29"/>
    <mergeCell ref="B28:B29"/>
    <mergeCell ref="K28:K29"/>
    <mergeCell ref="J90:J91"/>
    <mergeCell ref="K90:K91"/>
    <mergeCell ref="K86:K87"/>
    <mergeCell ref="B88:B89"/>
    <mergeCell ref="E88:E89"/>
    <mergeCell ref="F88:F89"/>
    <mergeCell ref="G88:G89"/>
    <mergeCell ref="H88:H89"/>
    <mergeCell ref="I88:I89"/>
    <mergeCell ref="J88:J89"/>
    <mergeCell ref="K88:K89"/>
    <mergeCell ref="B86:B87"/>
    <mergeCell ref="E86:E87"/>
    <mergeCell ref="F86:F87"/>
    <mergeCell ref="G86:G87"/>
    <mergeCell ref="H86:H87"/>
    <mergeCell ref="J86:J87"/>
    <mergeCell ref="B74:B75"/>
    <mergeCell ref="E74:E75"/>
    <mergeCell ref="B90:B91"/>
    <mergeCell ref="E90:E91"/>
    <mergeCell ref="H28:H29"/>
    <mergeCell ref="I28:I29"/>
    <mergeCell ref="E78:E79"/>
    <mergeCell ref="F78:F79"/>
    <mergeCell ref="G78:G79"/>
    <mergeCell ref="H78:H79"/>
    <mergeCell ref="I78:I79"/>
    <mergeCell ref="I86:I87"/>
    <mergeCell ref="G82:G83"/>
    <mergeCell ref="H82:H83"/>
    <mergeCell ref="I82:I83"/>
    <mergeCell ref="F74:F75"/>
    <mergeCell ref="G74:G75"/>
    <mergeCell ref="H74:H75"/>
    <mergeCell ref="I74:I75"/>
    <mergeCell ref="F72:F73"/>
    <mergeCell ref="G72:G73"/>
    <mergeCell ref="H72:H73"/>
    <mergeCell ref="I72:I73"/>
    <mergeCell ref="I66:I67"/>
    <mergeCell ref="H32:H33"/>
    <mergeCell ref="J72:J73"/>
    <mergeCell ref="F90:F91"/>
    <mergeCell ref="G90:G91"/>
    <mergeCell ref="H90:H91"/>
    <mergeCell ref="I90:I91"/>
    <mergeCell ref="J74:J75"/>
    <mergeCell ref="J82:J83"/>
    <mergeCell ref="B92:B93"/>
    <mergeCell ref="E92:E93"/>
    <mergeCell ref="B72:B73"/>
    <mergeCell ref="K92:K93"/>
    <mergeCell ref="K94:K95"/>
    <mergeCell ref="K96:K97"/>
    <mergeCell ref="F92:F93"/>
    <mergeCell ref="G92:G93"/>
    <mergeCell ref="H92:H93"/>
    <mergeCell ref="I92:I93"/>
    <mergeCell ref="F96:F97"/>
    <mergeCell ref="G96:G97"/>
    <mergeCell ref="H96:H97"/>
    <mergeCell ref="I96:I97"/>
    <mergeCell ref="J96:J97"/>
    <mergeCell ref="F94:F95"/>
    <mergeCell ref="G94:G95"/>
    <mergeCell ref="H94:H95"/>
    <mergeCell ref="I94:I95"/>
    <mergeCell ref="J94:J95"/>
    <mergeCell ref="J92:J93"/>
    <mergeCell ref="B110:B111"/>
    <mergeCell ref="C110:F111"/>
    <mergeCell ref="G110:G111"/>
    <mergeCell ref="H110:H111"/>
    <mergeCell ref="I110:I111"/>
    <mergeCell ref="B94:B95"/>
    <mergeCell ref="E94:E95"/>
    <mergeCell ref="B98:B99"/>
    <mergeCell ref="E98:E99"/>
    <mergeCell ref="F98:F99"/>
    <mergeCell ref="G98:G99"/>
    <mergeCell ref="H98:H99"/>
    <mergeCell ref="I98:I99"/>
    <mergeCell ref="B102:B103"/>
    <mergeCell ref="E102:E103"/>
    <mergeCell ref="F102:F103"/>
    <mergeCell ref="G102:G103"/>
    <mergeCell ref="H102:H103"/>
    <mergeCell ref="I102:I103"/>
    <mergeCell ref="B96:B97"/>
    <mergeCell ref="E96:E97"/>
    <mergeCell ref="B106:B107"/>
    <mergeCell ref="E106:E107"/>
    <mergeCell ref="F106:F107"/>
    <mergeCell ref="K74:K75"/>
    <mergeCell ref="B80:B81"/>
    <mergeCell ref="E80:E81"/>
    <mergeCell ref="F80:F81"/>
    <mergeCell ref="G80:G81"/>
    <mergeCell ref="H80:H81"/>
    <mergeCell ref="I80:I81"/>
    <mergeCell ref="J80:J81"/>
    <mergeCell ref="K80:K81"/>
    <mergeCell ref="J78:J79"/>
    <mergeCell ref="K78:K79"/>
    <mergeCell ref="B76:B77"/>
    <mergeCell ref="E76:E77"/>
    <mergeCell ref="F76:F77"/>
    <mergeCell ref="G76:G77"/>
    <mergeCell ref="H76:H77"/>
    <mergeCell ref="I76:I77"/>
    <mergeCell ref="J76:J77"/>
    <mergeCell ref="B78:B79"/>
    <mergeCell ref="K72:K73"/>
    <mergeCell ref="K62:K63"/>
    <mergeCell ref="K64:K65"/>
    <mergeCell ref="K66:K67"/>
    <mergeCell ref="K68:K69"/>
    <mergeCell ref="B70:B71"/>
    <mergeCell ref="E70:E71"/>
    <mergeCell ref="F70:F71"/>
    <mergeCell ref="G70:G71"/>
    <mergeCell ref="H70:H71"/>
    <mergeCell ref="I70:I71"/>
    <mergeCell ref="J70:J71"/>
    <mergeCell ref="K70:K71"/>
    <mergeCell ref="B62:B63"/>
    <mergeCell ref="E62:E63"/>
    <mergeCell ref="F62:F63"/>
    <mergeCell ref="G62:G63"/>
    <mergeCell ref="H62:H63"/>
    <mergeCell ref="J62:J63"/>
    <mergeCell ref="H68:H69"/>
    <mergeCell ref="J68:J69"/>
    <mergeCell ref="I68:I69"/>
    <mergeCell ref="I64:I65"/>
    <mergeCell ref="E72:E73"/>
    <mergeCell ref="K44:K45"/>
    <mergeCell ref="K46:K47"/>
    <mergeCell ref="K48:K49"/>
    <mergeCell ref="K50:K51"/>
    <mergeCell ref="K52:K53"/>
    <mergeCell ref="K54:K55"/>
    <mergeCell ref="K56:K57"/>
    <mergeCell ref="K58:K59"/>
    <mergeCell ref="K60:K61"/>
    <mergeCell ref="K26:K27"/>
    <mergeCell ref="K30:K31"/>
    <mergeCell ref="K32:K33"/>
    <mergeCell ref="K34:K35"/>
    <mergeCell ref="K36:K37"/>
    <mergeCell ref="K38:K39"/>
    <mergeCell ref="K40:K41"/>
    <mergeCell ref="K42:K43"/>
    <mergeCell ref="K6:K7"/>
    <mergeCell ref="K8:K9"/>
    <mergeCell ref="K10:K11"/>
    <mergeCell ref="K12:K13"/>
    <mergeCell ref="K14:K15"/>
    <mergeCell ref="K18:K19"/>
    <mergeCell ref="K20:K21"/>
    <mergeCell ref="K22:K23"/>
    <mergeCell ref="K24:K25"/>
    <mergeCell ref="K16:K17"/>
    <mergeCell ref="J4:J5"/>
    <mergeCell ref="B4:B5"/>
    <mergeCell ref="E4:E5"/>
    <mergeCell ref="F4:F5"/>
    <mergeCell ref="G4:G5"/>
    <mergeCell ref="H4:H5"/>
    <mergeCell ref="L2:X2"/>
    <mergeCell ref="E2:F2"/>
    <mergeCell ref="B2:B3"/>
    <mergeCell ref="J2:J3"/>
    <mergeCell ref="I4:I5"/>
    <mergeCell ref="G2:I2"/>
    <mergeCell ref="K2:K3"/>
    <mergeCell ref="K4:K5"/>
    <mergeCell ref="H6:H7"/>
    <mergeCell ref="J6:J7"/>
    <mergeCell ref="B8:B9"/>
    <mergeCell ref="E8:E9"/>
    <mergeCell ref="F8:F9"/>
    <mergeCell ref="G8:G9"/>
    <mergeCell ref="H8:H9"/>
    <mergeCell ref="J8:J9"/>
    <mergeCell ref="B6:B7"/>
    <mergeCell ref="E6:E7"/>
    <mergeCell ref="F6:F7"/>
    <mergeCell ref="G6:G7"/>
    <mergeCell ref="I6:I7"/>
    <mergeCell ref="I8:I9"/>
    <mergeCell ref="H10:H11"/>
    <mergeCell ref="J10:J11"/>
    <mergeCell ref="B12:B13"/>
    <mergeCell ref="E12:E13"/>
    <mergeCell ref="F12:F13"/>
    <mergeCell ref="G12:G13"/>
    <mergeCell ref="H12:H13"/>
    <mergeCell ref="J12:J13"/>
    <mergeCell ref="B10:B11"/>
    <mergeCell ref="E10:E11"/>
    <mergeCell ref="F10:F11"/>
    <mergeCell ref="G10:G11"/>
    <mergeCell ref="I10:I11"/>
    <mergeCell ref="I12:I13"/>
    <mergeCell ref="H14:H15"/>
    <mergeCell ref="J14:J15"/>
    <mergeCell ref="B18:B19"/>
    <mergeCell ref="E18:E19"/>
    <mergeCell ref="F18:F19"/>
    <mergeCell ref="G18:G19"/>
    <mergeCell ref="H18:H19"/>
    <mergeCell ref="J18:J19"/>
    <mergeCell ref="B14:B15"/>
    <mergeCell ref="E14:E15"/>
    <mergeCell ref="F14:F15"/>
    <mergeCell ref="G14:G15"/>
    <mergeCell ref="I14:I15"/>
    <mergeCell ref="I18:I19"/>
    <mergeCell ref="B16:B17"/>
    <mergeCell ref="E16:E17"/>
    <mergeCell ref="F16:F17"/>
    <mergeCell ref="G16:G17"/>
    <mergeCell ref="H16:H17"/>
    <mergeCell ref="I16:I17"/>
    <mergeCell ref="J16:J17"/>
    <mergeCell ref="H20:H21"/>
    <mergeCell ref="J20:J21"/>
    <mergeCell ref="B22:B23"/>
    <mergeCell ref="E22:E23"/>
    <mergeCell ref="F22:F23"/>
    <mergeCell ref="G22:G23"/>
    <mergeCell ref="H22:H23"/>
    <mergeCell ref="J22:J23"/>
    <mergeCell ref="B20:B21"/>
    <mergeCell ref="E20:E21"/>
    <mergeCell ref="F20:F21"/>
    <mergeCell ref="G20:G21"/>
    <mergeCell ref="I20:I21"/>
    <mergeCell ref="I22:I23"/>
    <mergeCell ref="H24:H25"/>
    <mergeCell ref="J24:J25"/>
    <mergeCell ref="B24:B25"/>
    <mergeCell ref="E24:E25"/>
    <mergeCell ref="F24:F25"/>
    <mergeCell ref="G24:G25"/>
    <mergeCell ref="I24:I25"/>
    <mergeCell ref="B30:B31"/>
    <mergeCell ref="E30:E31"/>
    <mergeCell ref="F30:F31"/>
    <mergeCell ref="G30:G31"/>
    <mergeCell ref="H30:H31"/>
    <mergeCell ref="J30:J31"/>
    <mergeCell ref="I30:I31"/>
    <mergeCell ref="J26:J27"/>
    <mergeCell ref="I26:I27"/>
    <mergeCell ref="H26:H27"/>
    <mergeCell ref="G26:G27"/>
    <mergeCell ref="F26:F27"/>
    <mergeCell ref="E26:E27"/>
    <mergeCell ref="B26:B27"/>
    <mergeCell ref="E28:E29"/>
    <mergeCell ref="F28:F29"/>
    <mergeCell ref="G28:G29"/>
    <mergeCell ref="J32:J33"/>
    <mergeCell ref="B34:B35"/>
    <mergeCell ref="E34:E35"/>
    <mergeCell ref="F34:F35"/>
    <mergeCell ref="G34:G35"/>
    <mergeCell ref="H34:H35"/>
    <mergeCell ref="J34:J35"/>
    <mergeCell ref="B32:B33"/>
    <mergeCell ref="E32:E33"/>
    <mergeCell ref="F32:F33"/>
    <mergeCell ref="G32:G33"/>
    <mergeCell ref="I32:I33"/>
    <mergeCell ref="I34:I35"/>
    <mergeCell ref="J36:J37"/>
    <mergeCell ref="B38:B39"/>
    <mergeCell ref="E38:E39"/>
    <mergeCell ref="F38:F39"/>
    <mergeCell ref="G38:G39"/>
    <mergeCell ref="H38:H39"/>
    <mergeCell ref="J38:J39"/>
    <mergeCell ref="B36:B37"/>
    <mergeCell ref="E36:E37"/>
    <mergeCell ref="F36:F37"/>
    <mergeCell ref="G36:G37"/>
    <mergeCell ref="H36:H37"/>
    <mergeCell ref="I36:I37"/>
    <mergeCell ref="I38:I39"/>
    <mergeCell ref="B42:B43"/>
    <mergeCell ref="E42:E43"/>
    <mergeCell ref="F42:F43"/>
    <mergeCell ref="G42:G43"/>
    <mergeCell ref="H42:H43"/>
    <mergeCell ref="J42:J43"/>
    <mergeCell ref="B40:B41"/>
    <mergeCell ref="E40:E41"/>
    <mergeCell ref="F40:F41"/>
    <mergeCell ref="G40:G41"/>
    <mergeCell ref="H40:H41"/>
    <mergeCell ref="J40:J41"/>
    <mergeCell ref="I40:I41"/>
    <mergeCell ref="I42:I43"/>
    <mergeCell ref="B46:B47"/>
    <mergeCell ref="E46:E47"/>
    <mergeCell ref="F46:F47"/>
    <mergeCell ref="G46:G47"/>
    <mergeCell ref="H46:H47"/>
    <mergeCell ref="J46:J47"/>
    <mergeCell ref="B44:B45"/>
    <mergeCell ref="E44:E45"/>
    <mergeCell ref="F44:F45"/>
    <mergeCell ref="G44:G45"/>
    <mergeCell ref="H44:H45"/>
    <mergeCell ref="J44:J45"/>
    <mergeCell ref="I44:I45"/>
    <mergeCell ref="I46:I47"/>
    <mergeCell ref="B50:B51"/>
    <mergeCell ref="E50:E51"/>
    <mergeCell ref="F50:F51"/>
    <mergeCell ref="G50:G51"/>
    <mergeCell ref="H50:H51"/>
    <mergeCell ref="J50:J51"/>
    <mergeCell ref="B48:B49"/>
    <mergeCell ref="E48:E49"/>
    <mergeCell ref="F48:F49"/>
    <mergeCell ref="G48:G49"/>
    <mergeCell ref="H48:H49"/>
    <mergeCell ref="J48:J49"/>
    <mergeCell ref="I48:I49"/>
    <mergeCell ref="I50:I51"/>
    <mergeCell ref="B54:B55"/>
    <mergeCell ref="E54:E55"/>
    <mergeCell ref="F54:F55"/>
    <mergeCell ref="G54:G55"/>
    <mergeCell ref="H54:H55"/>
    <mergeCell ref="J54:J55"/>
    <mergeCell ref="B52:B53"/>
    <mergeCell ref="E52:E53"/>
    <mergeCell ref="F52:F53"/>
    <mergeCell ref="G52:G53"/>
    <mergeCell ref="H52:H53"/>
    <mergeCell ref="J52:J53"/>
    <mergeCell ref="I52:I53"/>
    <mergeCell ref="I54:I55"/>
    <mergeCell ref="B58:B59"/>
    <mergeCell ref="E58:E59"/>
    <mergeCell ref="F58:F59"/>
    <mergeCell ref="G58:G59"/>
    <mergeCell ref="H58:H59"/>
    <mergeCell ref="J58:J59"/>
    <mergeCell ref="B56:B57"/>
    <mergeCell ref="E56:E57"/>
    <mergeCell ref="F56:F57"/>
    <mergeCell ref="G56:G57"/>
    <mergeCell ref="H56:H57"/>
    <mergeCell ref="J56:J57"/>
    <mergeCell ref="I56:I57"/>
    <mergeCell ref="I58:I59"/>
    <mergeCell ref="B60:B61"/>
    <mergeCell ref="E60:E61"/>
    <mergeCell ref="F60:F61"/>
    <mergeCell ref="G60:G61"/>
    <mergeCell ref="H60:H61"/>
    <mergeCell ref="J60:J61"/>
    <mergeCell ref="I60:I61"/>
    <mergeCell ref="I62:I63"/>
    <mergeCell ref="B68:B69"/>
    <mergeCell ref="E68:E69"/>
    <mergeCell ref="F68:F69"/>
    <mergeCell ref="G68:G69"/>
    <mergeCell ref="H64:H65"/>
    <mergeCell ref="J64:J65"/>
    <mergeCell ref="B66:B67"/>
    <mergeCell ref="E66:E67"/>
    <mergeCell ref="F66:F67"/>
    <mergeCell ref="G66:G67"/>
    <mergeCell ref="H66:H67"/>
    <mergeCell ref="J66:J67"/>
    <mergeCell ref="B64:B65"/>
    <mergeCell ref="E64:E65"/>
    <mergeCell ref="F64:F65"/>
    <mergeCell ref="G64:G65"/>
    <mergeCell ref="J98:J99"/>
    <mergeCell ref="K98:K99"/>
    <mergeCell ref="B100:B101"/>
    <mergeCell ref="E100:E101"/>
    <mergeCell ref="F100:F101"/>
    <mergeCell ref="G100:G101"/>
    <mergeCell ref="H100:H101"/>
    <mergeCell ref="I100:I101"/>
    <mergeCell ref="J100:J101"/>
    <mergeCell ref="K100:K101"/>
    <mergeCell ref="K82:K83"/>
    <mergeCell ref="B84:B85"/>
    <mergeCell ref="E84:E85"/>
    <mergeCell ref="F84:F85"/>
    <mergeCell ref="G84:G85"/>
    <mergeCell ref="H84:H85"/>
    <mergeCell ref="I84:I85"/>
    <mergeCell ref="J84:J85"/>
    <mergeCell ref="K84:K85"/>
    <mergeCell ref="B82:B83"/>
    <mergeCell ref="E82:E83"/>
    <mergeCell ref="F82:F83"/>
    <mergeCell ref="B108:B109"/>
    <mergeCell ref="E108:E109"/>
    <mergeCell ref="F108:F109"/>
    <mergeCell ref="G108:G109"/>
    <mergeCell ref="H108:H109"/>
    <mergeCell ref="I108:I109"/>
    <mergeCell ref="J108:J109"/>
    <mergeCell ref="K108:K109"/>
    <mergeCell ref="J102:J103"/>
    <mergeCell ref="K102:K103"/>
    <mergeCell ref="B104:B105"/>
    <mergeCell ref="E104:E105"/>
    <mergeCell ref="F104:F105"/>
    <mergeCell ref="G104:G105"/>
    <mergeCell ref="H104:H105"/>
    <mergeCell ref="I104:I105"/>
    <mergeCell ref="J104:J105"/>
    <mergeCell ref="K104:K105"/>
    <mergeCell ref="G106:G107"/>
    <mergeCell ref="H106:H107"/>
    <mergeCell ref="I106:I107"/>
    <mergeCell ref="J106:J107"/>
    <mergeCell ref="K106:K107"/>
  </mergeCells>
  <phoneticPr fontId="13" type="noConversion"/>
  <conditionalFormatting sqref="G6:H95 G98:H105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{46771AE9-64F8-49DB-837A-91EADC092AE3}</x14:id>
        </ext>
      </extLst>
    </cfRule>
  </conditionalFormatting>
  <conditionalFormatting sqref="I6:I95 I98:I105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{67CF7576-CD5E-4469-BB57-C8623EE2277C}</x14:id>
        </ext>
      </extLst>
    </cfRule>
  </conditionalFormatting>
  <conditionalFormatting sqref="G4:H5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{37A133F2-24E8-4591-9E74-7F3FFB30D3EF}</x14:id>
        </ext>
      </extLst>
    </cfRule>
  </conditionalFormatting>
  <conditionalFormatting sqref="I4:I5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{9425C812-B0FD-4FEC-9CDC-A8D2BF159774}</x14:id>
        </ext>
      </extLst>
    </cfRule>
  </conditionalFormatting>
  <conditionalFormatting sqref="G96:H97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{B071E154-BA86-4A7E-BFE5-2415B17619E5}</x14:id>
        </ext>
      </extLst>
    </cfRule>
  </conditionalFormatting>
  <conditionalFormatting sqref="I96:I97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{A3ABF9F5-E2BD-4C38-B241-6BB555FC89A7}</x14:id>
        </ext>
      </extLst>
    </cfRule>
  </conditionalFormatting>
  <conditionalFormatting sqref="G106:H107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{810D170A-6234-45CE-A5AD-CF7B002B2170}</x14:id>
        </ext>
      </extLst>
    </cfRule>
  </conditionalFormatting>
  <conditionalFormatting sqref="I106:I107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{2D176C4D-88F4-4529-9689-3B76AB13A2D5}</x14:id>
        </ext>
      </extLst>
    </cfRule>
  </conditionalFormatting>
  <conditionalFormatting sqref="G6:H107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{121F4F59-C4FB-49DD-9F74-C5EA6CD60669}</x14:id>
        </ext>
      </extLst>
    </cfRule>
  </conditionalFormatting>
  <conditionalFormatting sqref="G108:H109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{4510136E-EDBD-438F-B1AC-E3E32CFBB6D3}</x14:id>
        </ext>
      </extLst>
    </cfRule>
  </conditionalFormatting>
  <conditionalFormatting sqref="I108:I109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{BA436C55-F02B-4782-9829-431719E29A18}</x14:id>
        </ext>
      </extLst>
    </cfRule>
  </conditionalFormatting>
  <conditionalFormatting sqref="G108:H109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{20754C7D-F9C1-4734-B17B-1777976A06DA}</x14:id>
        </ext>
      </extLst>
    </cfRule>
  </conditionalFormatting>
  <conditionalFormatting sqref="G6:H109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{C2EF6FFF-2CFE-4E60-8450-C28AC8E11E1A}</x14:id>
        </ext>
      </extLst>
    </cfRule>
  </conditionalFormatting>
  <pageMargins left="0.25" right="0.25" top="0.75" bottom="0.75" header="0.3" footer="0.3"/>
  <pageSetup paperSize="9" scale="49" fitToHeight="0" orientation="landscape" r:id="rId1"/>
  <rowBreaks count="1" manualBreakCount="1">
    <brk id="55" max="16383" man="1"/>
  </rowBreaks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6771AE9-64F8-49DB-837A-91EADC092A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G6:H95 G98:H105</xm:sqref>
        </x14:conditionalFormatting>
        <x14:conditionalFormatting xmlns:xm="http://schemas.microsoft.com/office/excel/2006/main">
          <x14:cfRule type="dataBar" id="{67CF7576-CD5E-4469-BB57-C8623EE2277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I6:I95 I98:I105</xm:sqref>
        </x14:conditionalFormatting>
        <x14:conditionalFormatting xmlns:xm="http://schemas.microsoft.com/office/excel/2006/main">
          <x14:cfRule type="dataBar" id="{37A133F2-24E8-4591-9E74-7F3FFB30D3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G4:H5</xm:sqref>
        </x14:conditionalFormatting>
        <x14:conditionalFormatting xmlns:xm="http://schemas.microsoft.com/office/excel/2006/main">
          <x14:cfRule type="dataBar" id="{9425C812-B0FD-4FEC-9CDC-A8D2BF15977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I4:I5</xm:sqref>
        </x14:conditionalFormatting>
        <x14:conditionalFormatting xmlns:xm="http://schemas.microsoft.com/office/excel/2006/main">
          <x14:cfRule type="dataBar" id="{B071E154-BA86-4A7E-BFE5-2415B17619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G96:H97</xm:sqref>
        </x14:conditionalFormatting>
        <x14:conditionalFormatting xmlns:xm="http://schemas.microsoft.com/office/excel/2006/main">
          <x14:cfRule type="dataBar" id="{A3ABF9F5-E2BD-4C38-B241-6BB555FC89A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I96:I97</xm:sqref>
        </x14:conditionalFormatting>
        <x14:conditionalFormatting xmlns:xm="http://schemas.microsoft.com/office/excel/2006/main">
          <x14:cfRule type="dataBar" id="{810D170A-6234-45CE-A5AD-CF7B002B21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G106:H107</xm:sqref>
        </x14:conditionalFormatting>
        <x14:conditionalFormatting xmlns:xm="http://schemas.microsoft.com/office/excel/2006/main">
          <x14:cfRule type="dataBar" id="{2D176C4D-88F4-4529-9689-3B76AB13A2D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I106:I107</xm:sqref>
        </x14:conditionalFormatting>
        <x14:conditionalFormatting xmlns:xm="http://schemas.microsoft.com/office/excel/2006/main">
          <x14:cfRule type="dataBar" id="{121F4F59-C4FB-49DD-9F74-C5EA6CD6066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G6:H107</xm:sqref>
        </x14:conditionalFormatting>
        <x14:conditionalFormatting xmlns:xm="http://schemas.microsoft.com/office/excel/2006/main">
          <x14:cfRule type="dataBar" id="{4510136E-EDBD-438F-B1AC-E3E32CFBB6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G108:H109</xm:sqref>
        </x14:conditionalFormatting>
        <x14:conditionalFormatting xmlns:xm="http://schemas.microsoft.com/office/excel/2006/main">
          <x14:cfRule type="dataBar" id="{BA436C55-F02B-4782-9829-431719E29A1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I108:I109</xm:sqref>
        </x14:conditionalFormatting>
        <x14:conditionalFormatting xmlns:xm="http://schemas.microsoft.com/office/excel/2006/main">
          <x14:cfRule type="dataBar" id="{20754C7D-F9C1-4734-B17B-1777976A06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G108:H109</xm:sqref>
        </x14:conditionalFormatting>
        <x14:conditionalFormatting xmlns:xm="http://schemas.microsoft.com/office/excel/2006/main">
          <x14:cfRule type="dataBar" id="{C2EF6FFF-2CFE-4E60-8450-C28AC8E11E1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G6:H109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P101"/>
  <sheetViews>
    <sheetView view="pageBreakPreview" topLeftCell="M4" zoomScale="85" zoomScaleNormal="55" zoomScaleSheetLayoutView="85" workbookViewId="0">
      <selection activeCell="B26" sqref="A26:XFD26"/>
    </sheetView>
  </sheetViews>
  <sheetFormatPr defaultColWidth="12.625" defaultRowHeight="15" customHeight="1" x14ac:dyDescent="0.3"/>
  <cols>
    <col min="1" max="1" width="7.625" customWidth="1"/>
    <col min="2" max="2" width="22.25" customWidth="1"/>
    <col min="3" max="3" width="19.375" bestFit="1" customWidth="1"/>
    <col min="4" max="4" width="13.5" bestFit="1" customWidth="1"/>
    <col min="5" max="6" width="10" customWidth="1"/>
    <col min="7" max="9" width="13.5" customWidth="1"/>
    <col min="10" max="10" width="10.875" customWidth="1"/>
    <col min="11" max="11" width="11" customWidth="1"/>
    <col min="12" max="12" width="9" customWidth="1"/>
    <col min="13" max="13" width="10.875" customWidth="1"/>
    <col min="14" max="14" width="11.75" bestFit="1" customWidth="1"/>
    <col min="15" max="18" width="10.25" customWidth="1"/>
    <col min="19" max="19" width="11.75" customWidth="1"/>
    <col min="20" max="20" width="10.25" customWidth="1"/>
    <col min="21" max="21" width="11.75" customWidth="1"/>
    <col min="22" max="22" width="13.125" customWidth="1"/>
    <col min="23" max="27" width="11.75" customWidth="1"/>
    <col min="28" max="28" width="10.25" customWidth="1"/>
    <col min="29" max="29" width="11.75" customWidth="1"/>
    <col min="30" max="30" width="10.25" customWidth="1"/>
    <col min="31" max="31" width="11.75" customWidth="1"/>
    <col min="32" max="32" width="10.25" customWidth="1"/>
    <col min="33" max="38" width="12.625" customWidth="1"/>
    <col min="39" max="40" width="10.25" customWidth="1"/>
  </cols>
  <sheetData>
    <row r="1" spans="1:42" ht="16.5" customHeight="1" x14ac:dyDescent="0.3">
      <c r="A1" s="1" t="s">
        <v>46</v>
      </c>
      <c r="B1" s="1" t="s">
        <v>47</v>
      </c>
      <c r="C1" s="1" t="s">
        <v>2</v>
      </c>
      <c r="D1" s="1" t="s">
        <v>48</v>
      </c>
      <c r="E1" s="376" t="s">
        <v>49</v>
      </c>
      <c r="F1" s="377"/>
      <c r="G1" s="1" t="s">
        <v>50</v>
      </c>
      <c r="H1" s="541" t="s">
        <v>440</v>
      </c>
      <c r="I1" s="542"/>
      <c r="J1" s="543"/>
      <c r="K1" s="376" t="s">
        <v>51</v>
      </c>
      <c r="L1" s="538"/>
      <c r="M1" s="377"/>
      <c r="N1" s="14" t="s">
        <v>52</v>
      </c>
      <c r="O1" s="539" t="s">
        <v>53</v>
      </c>
      <c r="P1" s="540"/>
      <c r="Q1" s="539">
        <f>O1+1</f>
        <v>2</v>
      </c>
      <c r="R1" s="540"/>
      <c r="S1" s="535">
        <f>Q1+1</f>
        <v>3</v>
      </c>
      <c r="T1" s="536"/>
      <c r="U1" s="535">
        <f>S1+1</f>
        <v>4</v>
      </c>
      <c r="V1" s="536"/>
      <c r="W1" s="535">
        <f>U1+1</f>
        <v>5</v>
      </c>
      <c r="X1" s="536"/>
      <c r="Y1" s="535">
        <f>W1+1</f>
        <v>6</v>
      </c>
      <c r="Z1" s="536"/>
      <c r="AA1" s="535">
        <f>Y1+1</f>
        <v>7</v>
      </c>
      <c r="AB1" s="536"/>
      <c r="AC1" s="535">
        <f>AA1+1</f>
        <v>8</v>
      </c>
      <c r="AD1" s="536"/>
      <c r="AE1" s="535">
        <f>AC1+1</f>
        <v>9</v>
      </c>
      <c r="AF1" s="536"/>
      <c r="AG1" s="535">
        <f>AE1+1</f>
        <v>10</v>
      </c>
      <c r="AH1" s="536"/>
      <c r="AI1" s="535">
        <f>AG1+1</f>
        <v>11</v>
      </c>
      <c r="AJ1" s="536"/>
      <c r="AK1" s="535">
        <f>AI1+1</f>
        <v>12</v>
      </c>
      <c r="AL1" s="536"/>
      <c r="AM1" s="537" t="s">
        <v>54</v>
      </c>
      <c r="AN1" s="377"/>
    </row>
    <row r="2" spans="1:42" ht="16.5" customHeight="1" x14ac:dyDescent="0.3">
      <c r="A2" s="1" t="s">
        <v>46</v>
      </c>
      <c r="B2" s="1" t="s">
        <v>47</v>
      </c>
      <c r="C2" s="1" t="s">
        <v>2</v>
      </c>
      <c r="D2" s="1" t="s">
        <v>48</v>
      </c>
      <c r="E2" s="1" t="s">
        <v>55</v>
      </c>
      <c r="F2" s="1" t="s">
        <v>56</v>
      </c>
      <c r="G2" s="1" t="s">
        <v>50</v>
      </c>
      <c r="H2" s="3" t="s">
        <v>57</v>
      </c>
      <c r="I2" s="3" t="s">
        <v>58</v>
      </c>
      <c r="J2" s="13" t="s">
        <v>59</v>
      </c>
      <c r="K2" s="1" t="s">
        <v>60</v>
      </c>
      <c r="L2" s="1" t="s">
        <v>61</v>
      </c>
      <c r="M2" s="1" t="s">
        <v>62</v>
      </c>
      <c r="N2" s="14" t="s">
        <v>52</v>
      </c>
      <c r="O2" s="15" t="s">
        <v>387</v>
      </c>
      <c r="P2" s="16" t="s">
        <v>63</v>
      </c>
      <c r="Q2" s="15" t="s">
        <v>387</v>
      </c>
      <c r="R2" s="16" t="s">
        <v>63</v>
      </c>
      <c r="S2" s="15" t="s">
        <v>387</v>
      </c>
      <c r="T2" s="16" t="s">
        <v>63</v>
      </c>
      <c r="U2" s="15" t="s">
        <v>387</v>
      </c>
      <c r="V2" s="16" t="s">
        <v>63</v>
      </c>
      <c r="W2" s="15" t="s">
        <v>387</v>
      </c>
      <c r="X2" s="16" t="s">
        <v>63</v>
      </c>
      <c r="Y2" s="15" t="s">
        <v>387</v>
      </c>
      <c r="Z2" s="16" t="s">
        <v>63</v>
      </c>
      <c r="AA2" s="15" t="s">
        <v>387</v>
      </c>
      <c r="AB2" s="16" t="s">
        <v>63</v>
      </c>
      <c r="AC2" s="15" t="s">
        <v>387</v>
      </c>
      <c r="AD2" s="16" t="s">
        <v>63</v>
      </c>
      <c r="AE2" s="15" t="s">
        <v>387</v>
      </c>
      <c r="AF2" s="16" t="s">
        <v>63</v>
      </c>
      <c r="AG2" s="15" t="s">
        <v>387</v>
      </c>
      <c r="AH2" s="16" t="s">
        <v>63</v>
      </c>
      <c r="AI2" s="15" t="s">
        <v>387</v>
      </c>
      <c r="AJ2" s="16" t="s">
        <v>63</v>
      </c>
      <c r="AK2" s="15" t="s">
        <v>387</v>
      </c>
      <c r="AL2" s="16" t="s">
        <v>63</v>
      </c>
      <c r="AM2" s="15" t="s">
        <v>387</v>
      </c>
      <c r="AN2" s="16" t="s">
        <v>63</v>
      </c>
    </row>
    <row r="3" spans="1:42" ht="33" customHeight="1" x14ac:dyDescent="0.3">
      <c r="A3" s="3"/>
      <c r="B3" s="8" t="s">
        <v>11</v>
      </c>
      <c r="C3" s="8" t="s">
        <v>64</v>
      </c>
      <c r="D3" s="86" t="s">
        <v>374</v>
      </c>
      <c r="E3" s="3" t="s">
        <v>66</v>
      </c>
      <c r="F3" s="3" t="s">
        <v>67</v>
      </c>
      <c r="G3" s="152">
        <v>5</v>
      </c>
      <c r="H3" s="20">
        <v>42583</v>
      </c>
      <c r="I3" s="20">
        <v>42947</v>
      </c>
      <c r="J3" s="21" t="s">
        <v>449</v>
      </c>
      <c r="K3" s="5">
        <v>100000</v>
      </c>
      <c r="L3" s="5">
        <f t="shared" ref="L3:L33" si="0">ROUNDDOWN(K3*10%,1)</f>
        <v>10000</v>
      </c>
      <c r="M3" s="7">
        <f t="shared" ref="M3:M47" si="1">SUM(K3:L3)</f>
        <v>110000</v>
      </c>
      <c r="N3" s="22">
        <v>5</v>
      </c>
      <c r="O3" s="58" t="s">
        <v>324</v>
      </c>
      <c r="P3" s="59" t="s">
        <v>328</v>
      </c>
      <c r="Q3" s="58" t="s">
        <v>355</v>
      </c>
      <c r="R3" s="59" t="s">
        <v>384</v>
      </c>
      <c r="S3" s="93">
        <v>43528</v>
      </c>
      <c r="T3" s="78" t="s">
        <v>362</v>
      </c>
      <c r="U3" s="92">
        <v>43556</v>
      </c>
      <c r="V3" s="78" t="s">
        <v>389</v>
      </c>
      <c r="W3" s="92">
        <v>43587</v>
      </c>
      <c r="X3" s="78" t="s">
        <v>401</v>
      </c>
      <c r="Y3" s="92">
        <v>43618</v>
      </c>
      <c r="Z3" s="78" t="s">
        <v>429</v>
      </c>
      <c r="AA3" s="92">
        <v>43648</v>
      </c>
      <c r="AB3" s="78" t="s">
        <v>433</v>
      </c>
      <c r="AC3" s="93">
        <v>43682</v>
      </c>
      <c r="AD3" s="78" t="s">
        <v>441</v>
      </c>
      <c r="AE3" s="139">
        <v>43710</v>
      </c>
      <c r="AF3" s="160" t="s">
        <v>450</v>
      </c>
      <c r="AG3" s="92">
        <v>43739</v>
      </c>
      <c r="AH3" s="78" t="s">
        <v>453</v>
      </c>
      <c r="AI3" s="92">
        <v>43770</v>
      </c>
      <c r="AJ3" s="78" t="s">
        <v>468</v>
      </c>
      <c r="AK3" s="92">
        <v>43801</v>
      </c>
      <c r="AL3" s="78" t="s">
        <v>490</v>
      </c>
      <c r="AM3" s="27"/>
      <c r="AN3" s="27"/>
    </row>
    <row r="4" spans="1:42" ht="33" customHeight="1" x14ac:dyDescent="0.3">
      <c r="A4" s="3"/>
      <c r="B4" s="8" t="s">
        <v>20</v>
      </c>
      <c r="C4" s="8" t="s">
        <v>69</v>
      </c>
      <c r="D4" s="28" t="s">
        <v>70</v>
      </c>
      <c r="E4" s="3" t="s">
        <v>66</v>
      </c>
      <c r="F4" s="3" t="s">
        <v>67</v>
      </c>
      <c r="G4" s="153">
        <v>7</v>
      </c>
      <c r="H4" s="21">
        <v>43108</v>
      </c>
      <c r="I4" s="21">
        <v>43465</v>
      </c>
      <c r="J4" s="21" t="s">
        <v>68</v>
      </c>
      <c r="K4" s="5">
        <v>100000</v>
      </c>
      <c r="L4" s="5">
        <f t="shared" si="0"/>
        <v>10000</v>
      </c>
      <c r="M4" s="7">
        <f t="shared" si="1"/>
        <v>110000</v>
      </c>
      <c r="N4" s="22">
        <v>5</v>
      </c>
      <c r="O4" s="58" t="s">
        <v>325</v>
      </c>
      <c r="P4" s="59" t="s">
        <v>327</v>
      </c>
      <c r="Q4" s="58" t="s">
        <v>358</v>
      </c>
      <c r="R4" s="59" t="s">
        <v>384</v>
      </c>
      <c r="S4" s="93">
        <v>43531</v>
      </c>
      <c r="T4" s="78" t="s">
        <v>362</v>
      </c>
      <c r="U4" s="93">
        <v>43563</v>
      </c>
      <c r="V4" s="78" t="s">
        <v>389</v>
      </c>
      <c r="W4" s="93">
        <v>43594</v>
      </c>
      <c r="X4" s="78" t="s">
        <v>401</v>
      </c>
      <c r="Y4" s="93">
        <v>43623</v>
      </c>
      <c r="Z4" s="78" t="s">
        <v>429</v>
      </c>
      <c r="AA4" s="93">
        <v>43654</v>
      </c>
      <c r="AB4" s="78" t="s">
        <v>433</v>
      </c>
      <c r="AC4" s="58" t="s">
        <v>447</v>
      </c>
      <c r="AD4" s="78" t="s">
        <v>441</v>
      </c>
      <c r="AE4" s="93">
        <v>43717</v>
      </c>
      <c r="AF4" s="78" t="s">
        <v>450</v>
      </c>
      <c r="AG4" s="93">
        <v>43748</v>
      </c>
      <c r="AH4" s="78" t="s">
        <v>453</v>
      </c>
      <c r="AI4" s="93">
        <v>43776</v>
      </c>
      <c r="AJ4" s="78" t="s">
        <v>468</v>
      </c>
      <c r="AK4" s="93">
        <v>43808</v>
      </c>
      <c r="AL4" s="78" t="s">
        <v>490</v>
      </c>
      <c r="AM4" s="27"/>
      <c r="AN4" s="27"/>
    </row>
    <row r="5" spans="1:42" ht="33" customHeight="1" x14ac:dyDescent="0.3">
      <c r="A5" s="3"/>
      <c r="B5" s="8" t="s">
        <v>12</v>
      </c>
      <c r="C5" s="8" t="s">
        <v>71</v>
      </c>
      <c r="D5" s="28" t="s">
        <v>70</v>
      </c>
      <c r="E5" s="3" t="s">
        <v>66</v>
      </c>
      <c r="F5" s="3" t="s">
        <v>67</v>
      </c>
      <c r="G5" s="152">
        <v>5</v>
      </c>
      <c r="H5" s="29">
        <v>43244</v>
      </c>
      <c r="I5" s="29">
        <v>43608</v>
      </c>
      <c r="J5" s="20" t="s">
        <v>68</v>
      </c>
      <c r="K5" s="5">
        <v>100000</v>
      </c>
      <c r="L5" s="5">
        <f t="shared" si="0"/>
        <v>10000</v>
      </c>
      <c r="M5" s="7">
        <f t="shared" si="1"/>
        <v>110000</v>
      </c>
      <c r="N5" s="22">
        <v>5</v>
      </c>
      <c r="O5" s="58" t="s">
        <v>325</v>
      </c>
      <c r="P5" s="59" t="s">
        <v>327</v>
      </c>
      <c r="Q5" s="58" t="s">
        <v>358</v>
      </c>
      <c r="R5" s="59" t="s">
        <v>384</v>
      </c>
      <c r="S5" s="93">
        <v>43531</v>
      </c>
      <c r="T5" s="78" t="s">
        <v>362</v>
      </c>
      <c r="U5" s="93">
        <v>43563</v>
      </c>
      <c r="V5" s="78" t="s">
        <v>389</v>
      </c>
      <c r="W5" s="93">
        <v>43594</v>
      </c>
      <c r="X5" s="78" t="s">
        <v>401</v>
      </c>
      <c r="Y5" s="93">
        <v>43623</v>
      </c>
      <c r="Z5" s="78" t="s">
        <v>429</v>
      </c>
      <c r="AA5" s="93">
        <v>43654</v>
      </c>
      <c r="AB5" s="78" t="s">
        <v>433</v>
      </c>
      <c r="AC5" s="58" t="s">
        <v>447</v>
      </c>
      <c r="AD5" s="78" t="s">
        <v>441</v>
      </c>
      <c r="AE5" s="93">
        <v>43717</v>
      </c>
      <c r="AF5" s="78" t="s">
        <v>450</v>
      </c>
      <c r="AG5" s="93">
        <v>43748</v>
      </c>
      <c r="AH5" s="78" t="s">
        <v>453</v>
      </c>
      <c r="AI5" s="93">
        <v>43776</v>
      </c>
      <c r="AJ5" s="78" t="s">
        <v>468</v>
      </c>
      <c r="AK5" s="93">
        <v>43808</v>
      </c>
      <c r="AL5" s="78" t="s">
        <v>490</v>
      </c>
      <c r="AM5" s="27"/>
      <c r="AN5" s="27"/>
    </row>
    <row r="6" spans="1:42" ht="33" customHeight="1" x14ac:dyDescent="0.3">
      <c r="A6" s="3"/>
      <c r="B6" s="8" t="s">
        <v>13</v>
      </c>
      <c r="C6" s="8" t="s">
        <v>72</v>
      </c>
      <c r="D6" s="28" t="s">
        <v>70</v>
      </c>
      <c r="E6" s="3" t="s">
        <v>66</v>
      </c>
      <c r="F6" s="3" t="s">
        <v>67</v>
      </c>
      <c r="G6" s="152">
        <v>5</v>
      </c>
      <c r="H6" s="29">
        <v>43282</v>
      </c>
      <c r="I6" s="29" t="s">
        <v>73</v>
      </c>
      <c r="J6" s="21" t="s">
        <v>68</v>
      </c>
      <c r="K6" s="5">
        <v>100000</v>
      </c>
      <c r="L6" s="5">
        <f t="shared" si="0"/>
        <v>10000</v>
      </c>
      <c r="M6" s="7">
        <f t="shared" si="1"/>
        <v>110000</v>
      </c>
      <c r="N6" s="22">
        <v>5</v>
      </c>
      <c r="O6" s="58" t="s">
        <v>325</v>
      </c>
      <c r="P6" s="59" t="s">
        <v>327</v>
      </c>
      <c r="Q6" s="58" t="s">
        <v>358</v>
      </c>
      <c r="R6" s="59" t="s">
        <v>384</v>
      </c>
      <c r="S6" s="93">
        <v>43531</v>
      </c>
      <c r="T6" s="78" t="s">
        <v>362</v>
      </c>
      <c r="U6" s="93">
        <v>43563</v>
      </c>
      <c r="V6" s="78" t="s">
        <v>389</v>
      </c>
      <c r="W6" s="93">
        <v>43594</v>
      </c>
      <c r="X6" s="78" t="s">
        <v>401</v>
      </c>
      <c r="Y6" s="93">
        <v>43623</v>
      </c>
      <c r="Z6" s="78" t="s">
        <v>429</v>
      </c>
      <c r="AA6" s="93">
        <v>43654</v>
      </c>
      <c r="AB6" s="78" t="s">
        <v>433</v>
      </c>
      <c r="AC6" s="98">
        <v>43693</v>
      </c>
      <c r="AD6" s="78" t="s">
        <v>441</v>
      </c>
      <c r="AE6" s="93">
        <v>43717</v>
      </c>
      <c r="AF6" s="78" t="s">
        <v>450</v>
      </c>
      <c r="AG6" s="93">
        <v>43748</v>
      </c>
      <c r="AH6" s="78" t="s">
        <v>453</v>
      </c>
      <c r="AI6" s="93">
        <v>43776</v>
      </c>
      <c r="AJ6" s="78" t="s">
        <v>468</v>
      </c>
      <c r="AK6" s="93">
        <v>43808</v>
      </c>
      <c r="AL6" s="78" t="s">
        <v>490</v>
      </c>
      <c r="AM6" s="27"/>
      <c r="AN6" s="27"/>
    </row>
    <row r="7" spans="1:42" ht="33" customHeight="1" x14ac:dyDescent="0.3">
      <c r="A7" s="3"/>
      <c r="B7" s="8" t="s">
        <v>392</v>
      </c>
      <c r="C7" s="8" t="s">
        <v>393</v>
      </c>
      <c r="D7" s="28" t="s">
        <v>70</v>
      </c>
      <c r="E7" s="3" t="s">
        <v>66</v>
      </c>
      <c r="F7" s="3" t="s">
        <v>67</v>
      </c>
      <c r="G7" s="152">
        <v>10</v>
      </c>
      <c r="H7" s="29">
        <v>43556</v>
      </c>
      <c r="I7" s="29">
        <v>43921</v>
      </c>
      <c r="J7" s="21" t="s">
        <v>68</v>
      </c>
      <c r="K7" s="5">
        <v>100000</v>
      </c>
      <c r="L7" s="5">
        <f t="shared" si="0"/>
        <v>10000</v>
      </c>
      <c r="M7" s="7">
        <f t="shared" si="1"/>
        <v>110000</v>
      </c>
      <c r="N7" s="22">
        <v>5</v>
      </c>
      <c r="O7" s="75"/>
      <c r="P7" s="76"/>
      <c r="Q7" s="75"/>
      <c r="R7" s="76"/>
      <c r="S7" s="75"/>
      <c r="T7" s="76"/>
      <c r="U7" s="75"/>
      <c r="V7" s="76"/>
      <c r="W7" s="93">
        <v>43594</v>
      </c>
      <c r="X7" s="78" t="s">
        <v>401</v>
      </c>
      <c r="Y7" s="93">
        <v>43623</v>
      </c>
      <c r="Z7" s="78" t="s">
        <v>429</v>
      </c>
      <c r="AA7" s="93">
        <v>43654</v>
      </c>
      <c r="AB7" s="78" t="s">
        <v>433</v>
      </c>
      <c r="AC7" s="58" t="s">
        <v>447</v>
      </c>
      <c r="AD7" s="78" t="s">
        <v>441</v>
      </c>
      <c r="AE7" s="93">
        <v>43717</v>
      </c>
      <c r="AF7" s="78" t="s">
        <v>450</v>
      </c>
      <c r="AG7" s="93">
        <v>43748</v>
      </c>
      <c r="AH7" s="78" t="s">
        <v>453</v>
      </c>
      <c r="AI7" s="93">
        <v>43776</v>
      </c>
      <c r="AJ7" s="78" t="s">
        <v>468</v>
      </c>
      <c r="AK7" s="93">
        <v>43808</v>
      </c>
      <c r="AL7" s="78" t="s">
        <v>490</v>
      </c>
      <c r="AM7" s="27"/>
      <c r="AN7" s="27"/>
    </row>
    <row r="8" spans="1:42" ht="33" customHeight="1" x14ac:dyDescent="0.3">
      <c r="A8" s="3"/>
      <c r="B8" s="74" t="s">
        <v>405</v>
      </c>
      <c r="C8" s="8" t="s">
        <v>406</v>
      </c>
      <c r="D8" s="28" t="s">
        <v>70</v>
      </c>
      <c r="E8" s="3" t="s">
        <v>66</v>
      </c>
      <c r="F8" s="3" t="s">
        <v>67</v>
      </c>
      <c r="G8" s="152">
        <v>10</v>
      </c>
      <c r="H8" s="29">
        <v>43600</v>
      </c>
      <c r="I8" s="29">
        <v>43965</v>
      </c>
      <c r="J8" s="21" t="s">
        <v>68</v>
      </c>
      <c r="K8" s="140">
        <v>400000</v>
      </c>
      <c r="L8" s="140">
        <f t="shared" si="0"/>
        <v>40000</v>
      </c>
      <c r="M8" s="7">
        <f t="shared" si="1"/>
        <v>440000</v>
      </c>
      <c r="N8" s="22">
        <v>5</v>
      </c>
      <c r="O8" s="75"/>
      <c r="P8" s="76"/>
      <c r="Q8" s="75"/>
      <c r="R8" s="76"/>
      <c r="S8" s="75"/>
      <c r="T8" s="76"/>
      <c r="U8" s="75"/>
      <c r="V8" s="76"/>
      <c r="W8" s="75"/>
      <c r="X8" s="76"/>
      <c r="Y8" s="93">
        <v>43649</v>
      </c>
      <c r="Z8" s="79" t="s">
        <v>432</v>
      </c>
      <c r="AA8" s="95"/>
      <c r="AB8" s="102"/>
      <c r="AC8" s="58" t="s">
        <v>447</v>
      </c>
      <c r="AD8" s="78" t="s">
        <v>441</v>
      </c>
      <c r="AE8" s="93">
        <v>43717</v>
      </c>
      <c r="AF8" s="78" t="s">
        <v>450</v>
      </c>
      <c r="AG8" s="93">
        <v>43748</v>
      </c>
      <c r="AH8" s="78" t="s">
        <v>453</v>
      </c>
      <c r="AI8" s="93">
        <v>43776</v>
      </c>
      <c r="AJ8" s="78" t="s">
        <v>468</v>
      </c>
      <c r="AK8" s="93">
        <v>43808</v>
      </c>
      <c r="AL8" s="78" t="s">
        <v>490</v>
      </c>
      <c r="AM8" s="27"/>
      <c r="AN8" s="27"/>
    </row>
    <row r="9" spans="1:42" ht="33" customHeight="1" x14ac:dyDescent="0.3">
      <c r="A9" s="3"/>
      <c r="B9" s="8" t="s">
        <v>14</v>
      </c>
      <c r="C9" s="8" t="s">
        <v>74</v>
      </c>
      <c r="D9" s="86" t="s">
        <v>374</v>
      </c>
      <c r="E9" s="3" t="s">
        <v>66</v>
      </c>
      <c r="F9" s="3" t="s">
        <v>67</v>
      </c>
      <c r="G9" s="152">
        <v>5</v>
      </c>
      <c r="H9" s="20">
        <v>42887</v>
      </c>
      <c r="I9" s="90">
        <v>43616</v>
      </c>
      <c r="J9" s="21" t="s">
        <v>68</v>
      </c>
      <c r="K9" s="5">
        <v>250000</v>
      </c>
      <c r="L9" s="5">
        <f t="shared" si="0"/>
        <v>25000</v>
      </c>
      <c r="M9" s="7">
        <f t="shared" si="1"/>
        <v>275000</v>
      </c>
      <c r="N9" s="22">
        <v>10</v>
      </c>
      <c r="O9" s="58" t="s">
        <v>326</v>
      </c>
      <c r="P9" s="59" t="s">
        <v>327</v>
      </c>
      <c r="Q9" s="58" t="s">
        <v>354</v>
      </c>
      <c r="R9" s="59" t="s">
        <v>384</v>
      </c>
      <c r="S9" s="94">
        <v>43535</v>
      </c>
      <c r="T9" s="78" t="s">
        <v>362</v>
      </c>
      <c r="U9" s="94">
        <v>43565</v>
      </c>
      <c r="V9" s="78" t="s">
        <v>389</v>
      </c>
      <c r="W9" s="94">
        <v>43595</v>
      </c>
      <c r="X9" s="78" t="s">
        <v>401</v>
      </c>
      <c r="Y9" s="94">
        <v>43626</v>
      </c>
      <c r="Z9" s="78" t="s">
        <v>429</v>
      </c>
      <c r="AA9" s="94">
        <v>43656</v>
      </c>
      <c r="AB9" s="78" t="s">
        <v>433</v>
      </c>
      <c r="AC9" s="94">
        <v>43689</v>
      </c>
      <c r="AD9" s="78" t="s">
        <v>441</v>
      </c>
      <c r="AE9" s="94">
        <v>43718</v>
      </c>
      <c r="AF9" s="78" t="s">
        <v>450</v>
      </c>
      <c r="AG9" s="94">
        <v>43748</v>
      </c>
      <c r="AH9" s="78" t="s">
        <v>453</v>
      </c>
      <c r="AI9" s="94">
        <v>43780</v>
      </c>
      <c r="AJ9" s="78" t="s">
        <v>468</v>
      </c>
      <c r="AK9" s="94">
        <v>43809</v>
      </c>
      <c r="AL9" s="78" t="s">
        <v>490</v>
      </c>
      <c r="AM9" s="27"/>
      <c r="AN9" s="27"/>
    </row>
    <row r="10" spans="1:42" ht="33" customHeight="1" x14ac:dyDescent="0.3">
      <c r="A10" s="3"/>
      <c r="B10" s="3" t="s">
        <v>24</v>
      </c>
      <c r="C10" s="3" t="s">
        <v>75</v>
      </c>
      <c r="D10" s="28" t="s">
        <v>70</v>
      </c>
      <c r="E10" s="3" t="s">
        <v>66</v>
      </c>
      <c r="F10" s="3" t="s">
        <v>67</v>
      </c>
      <c r="G10" s="152">
        <v>10</v>
      </c>
      <c r="H10" s="20">
        <v>43063</v>
      </c>
      <c r="I10" s="30">
        <v>43465</v>
      </c>
      <c r="J10" s="21" t="s">
        <v>68</v>
      </c>
      <c r="K10" s="5">
        <v>100000</v>
      </c>
      <c r="L10" s="5">
        <f t="shared" si="0"/>
        <v>10000</v>
      </c>
      <c r="M10" s="7">
        <f t="shared" si="1"/>
        <v>110000</v>
      </c>
      <c r="N10" s="22">
        <v>10</v>
      </c>
      <c r="O10" s="58" t="s">
        <v>326</v>
      </c>
      <c r="P10" s="59" t="s">
        <v>327</v>
      </c>
      <c r="Q10" s="58" t="s">
        <v>354</v>
      </c>
      <c r="R10" s="59" t="s">
        <v>384</v>
      </c>
      <c r="S10" s="93">
        <v>43537</v>
      </c>
      <c r="T10" s="78" t="s">
        <v>362</v>
      </c>
      <c r="U10" s="93">
        <v>43567</v>
      </c>
      <c r="V10" s="78" t="s">
        <v>389</v>
      </c>
      <c r="W10" s="93">
        <v>43598</v>
      </c>
      <c r="X10" s="78" t="s">
        <v>401</v>
      </c>
      <c r="Y10" s="93">
        <v>43628</v>
      </c>
      <c r="Z10" s="78" t="s">
        <v>429</v>
      </c>
      <c r="AA10" s="93">
        <v>43658</v>
      </c>
      <c r="AB10" s="78" t="s">
        <v>433</v>
      </c>
      <c r="AC10" s="93">
        <v>43691</v>
      </c>
      <c r="AD10" s="78" t="s">
        <v>441</v>
      </c>
      <c r="AE10" s="93">
        <v>43724</v>
      </c>
      <c r="AF10" s="78" t="s">
        <v>450</v>
      </c>
      <c r="AG10" s="93">
        <v>43752</v>
      </c>
      <c r="AH10" s="78" t="s">
        <v>453</v>
      </c>
      <c r="AI10" s="93">
        <v>43782</v>
      </c>
      <c r="AJ10" s="78" t="s">
        <v>468</v>
      </c>
      <c r="AK10" s="93">
        <v>43811</v>
      </c>
      <c r="AL10" s="78" t="s">
        <v>490</v>
      </c>
      <c r="AM10" s="27"/>
      <c r="AN10" s="27"/>
      <c r="AO10" s="139"/>
      <c r="AP10" s="160"/>
    </row>
    <row r="11" spans="1:42" ht="33" customHeight="1" x14ac:dyDescent="0.3">
      <c r="A11" s="3"/>
      <c r="B11" s="8" t="s">
        <v>35</v>
      </c>
      <c r="C11" s="8" t="s">
        <v>76</v>
      </c>
      <c r="D11" s="28" t="s">
        <v>70</v>
      </c>
      <c r="E11" s="3" t="s">
        <v>66</v>
      </c>
      <c r="F11" s="3" t="s">
        <v>67</v>
      </c>
      <c r="G11" s="152">
        <v>25</v>
      </c>
      <c r="H11" s="20">
        <v>42826</v>
      </c>
      <c r="I11" s="20">
        <v>43190</v>
      </c>
      <c r="J11" s="21" t="s">
        <v>68</v>
      </c>
      <c r="K11" s="5">
        <v>100000</v>
      </c>
      <c r="L11" s="5">
        <f t="shared" si="0"/>
        <v>10000</v>
      </c>
      <c r="M11" s="7">
        <f t="shared" si="1"/>
        <v>110000</v>
      </c>
      <c r="N11" s="22">
        <v>10</v>
      </c>
      <c r="O11" s="58" t="s">
        <v>326</v>
      </c>
      <c r="P11" s="59" t="s">
        <v>327</v>
      </c>
      <c r="Q11" s="58" t="s">
        <v>354</v>
      </c>
      <c r="R11" s="59" t="s">
        <v>384</v>
      </c>
      <c r="S11" s="93">
        <v>43537</v>
      </c>
      <c r="T11" s="78" t="s">
        <v>362</v>
      </c>
      <c r="U11" s="93">
        <v>43567</v>
      </c>
      <c r="V11" s="78" t="s">
        <v>389</v>
      </c>
      <c r="W11" s="93">
        <v>43598</v>
      </c>
      <c r="X11" s="78" t="s">
        <v>401</v>
      </c>
      <c r="Y11" s="93">
        <v>43628</v>
      </c>
      <c r="Z11" s="78" t="s">
        <v>429</v>
      </c>
      <c r="AA11" s="93">
        <v>43658</v>
      </c>
      <c r="AB11" s="78" t="s">
        <v>433</v>
      </c>
      <c r="AC11" s="98">
        <v>43696</v>
      </c>
      <c r="AD11" s="78" t="s">
        <v>441</v>
      </c>
      <c r="AE11" s="93">
        <v>43724</v>
      </c>
      <c r="AF11" s="78" t="s">
        <v>450</v>
      </c>
      <c r="AG11" s="93">
        <v>43752</v>
      </c>
      <c r="AH11" s="78" t="s">
        <v>453</v>
      </c>
      <c r="AI11" s="93">
        <v>43782</v>
      </c>
      <c r="AJ11" s="78" t="s">
        <v>468</v>
      </c>
      <c r="AK11" s="93">
        <v>43811</v>
      </c>
      <c r="AL11" s="78" t="s">
        <v>490</v>
      </c>
      <c r="AM11" s="27"/>
      <c r="AN11" s="27"/>
    </row>
    <row r="12" spans="1:42" ht="33" customHeight="1" x14ac:dyDescent="0.3">
      <c r="A12" s="3"/>
      <c r="B12" s="8" t="s">
        <v>25</v>
      </c>
      <c r="C12" s="8" t="s">
        <v>77</v>
      </c>
      <c r="D12" s="28" t="s">
        <v>70</v>
      </c>
      <c r="E12" s="3" t="s">
        <v>66</v>
      </c>
      <c r="F12" s="3" t="s">
        <v>67</v>
      </c>
      <c r="G12" s="152">
        <v>10</v>
      </c>
      <c r="H12" s="20">
        <v>43132</v>
      </c>
      <c r="I12" s="20">
        <v>43496</v>
      </c>
      <c r="J12" s="21" t="s">
        <v>68</v>
      </c>
      <c r="K12" s="5">
        <v>100000</v>
      </c>
      <c r="L12" s="5">
        <f t="shared" si="0"/>
        <v>10000</v>
      </c>
      <c r="M12" s="7">
        <f t="shared" si="1"/>
        <v>110000</v>
      </c>
      <c r="N12" s="22">
        <v>10</v>
      </c>
      <c r="O12" s="58" t="s">
        <v>326</v>
      </c>
      <c r="P12" s="59" t="s">
        <v>327</v>
      </c>
      <c r="Q12" s="58" t="s">
        <v>354</v>
      </c>
      <c r="R12" s="59" t="s">
        <v>384</v>
      </c>
      <c r="S12" s="93">
        <v>43537</v>
      </c>
      <c r="T12" s="78" t="s">
        <v>362</v>
      </c>
      <c r="U12" s="93">
        <v>43567</v>
      </c>
      <c r="V12" s="78" t="s">
        <v>389</v>
      </c>
      <c r="W12" s="93">
        <v>43598</v>
      </c>
      <c r="X12" s="78" t="s">
        <v>401</v>
      </c>
      <c r="Y12" s="93">
        <v>43628</v>
      </c>
      <c r="Z12" s="78" t="s">
        <v>429</v>
      </c>
      <c r="AA12" s="93">
        <v>43658</v>
      </c>
      <c r="AB12" s="78" t="s">
        <v>433</v>
      </c>
      <c r="AC12" s="93">
        <v>43691</v>
      </c>
      <c r="AD12" s="78" t="s">
        <v>441</v>
      </c>
      <c r="AE12" s="93">
        <v>43724</v>
      </c>
      <c r="AF12" s="78" t="s">
        <v>450</v>
      </c>
      <c r="AG12" s="93">
        <v>43752</v>
      </c>
      <c r="AH12" s="78" t="s">
        <v>453</v>
      </c>
      <c r="AI12" s="93">
        <v>43782</v>
      </c>
      <c r="AJ12" s="78" t="s">
        <v>468</v>
      </c>
      <c r="AK12" s="93">
        <v>43811</v>
      </c>
      <c r="AL12" s="78" t="s">
        <v>490</v>
      </c>
      <c r="AM12" s="27"/>
      <c r="AN12" s="27"/>
    </row>
    <row r="13" spans="1:42" ht="33" customHeight="1" x14ac:dyDescent="0.3">
      <c r="A13" s="3"/>
      <c r="B13" s="8" t="s">
        <v>26</v>
      </c>
      <c r="C13" s="8" t="s">
        <v>78</v>
      </c>
      <c r="D13" s="28" t="s">
        <v>70</v>
      </c>
      <c r="E13" s="3" t="s">
        <v>66</v>
      </c>
      <c r="F13" s="3" t="s">
        <v>67</v>
      </c>
      <c r="G13" s="152">
        <v>10</v>
      </c>
      <c r="H13" s="29">
        <v>43252</v>
      </c>
      <c r="I13" s="29">
        <v>43616</v>
      </c>
      <c r="J13" s="158" t="s">
        <v>445</v>
      </c>
      <c r="K13" s="5"/>
      <c r="L13" s="5"/>
      <c r="M13" s="7">
        <f t="shared" si="1"/>
        <v>0</v>
      </c>
      <c r="N13" s="22">
        <v>20</v>
      </c>
      <c r="O13" s="58" t="s">
        <v>326</v>
      </c>
      <c r="P13" s="59" t="s">
        <v>327</v>
      </c>
      <c r="Q13" s="58" t="s">
        <v>354</v>
      </c>
      <c r="R13" s="59" t="s">
        <v>384</v>
      </c>
      <c r="S13" s="96">
        <v>43542</v>
      </c>
      <c r="T13" s="78" t="s">
        <v>362</v>
      </c>
      <c r="U13" s="105">
        <v>43598</v>
      </c>
      <c r="V13" s="78" t="s">
        <v>389</v>
      </c>
      <c r="W13" s="93">
        <v>43598</v>
      </c>
      <c r="X13" s="78" t="s">
        <v>401</v>
      </c>
      <c r="Y13" s="93">
        <v>43628</v>
      </c>
      <c r="Z13" s="78" t="s">
        <v>429</v>
      </c>
      <c r="AA13" s="93">
        <v>43658</v>
      </c>
      <c r="AB13" s="78" t="s">
        <v>433</v>
      </c>
      <c r="AC13" s="95"/>
      <c r="AD13" s="157"/>
      <c r="AE13" s="95"/>
      <c r="AF13" s="157"/>
      <c r="AG13" s="95"/>
      <c r="AH13" s="157"/>
      <c r="AI13" s="95"/>
      <c r="AJ13" s="157"/>
      <c r="AK13" s="95"/>
      <c r="AL13" s="157"/>
      <c r="AM13" s="27"/>
      <c r="AN13" s="27"/>
    </row>
    <row r="14" spans="1:42" ht="33" customHeight="1" x14ac:dyDescent="0.3">
      <c r="A14" s="3"/>
      <c r="B14" s="8" t="s">
        <v>23</v>
      </c>
      <c r="C14" s="8" t="s">
        <v>79</v>
      </c>
      <c r="D14" s="28" t="s">
        <v>70</v>
      </c>
      <c r="E14" s="3" t="s">
        <v>66</v>
      </c>
      <c r="F14" s="3" t="s">
        <v>67</v>
      </c>
      <c r="G14" s="152">
        <v>10</v>
      </c>
      <c r="H14" s="29">
        <v>43405</v>
      </c>
      <c r="I14" s="29">
        <v>43769</v>
      </c>
      <c r="J14" s="21" t="s">
        <v>68</v>
      </c>
      <c r="K14" s="5">
        <v>110000</v>
      </c>
      <c r="L14" s="5">
        <f t="shared" si="0"/>
        <v>11000</v>
      </c>
      <c r="M14" s="7">
        <f t="shared" si="1"/>
        <v>121000</v>
      </c>
      <c r="N14" s="22">
        <v>10</v>
      </c>
      <c r="O14" s="58" t="s">
        <v>326</v>
      </c>
      <c r="P14" s="59" t="s">
        <v>327</v>
      </c>
      <c r="Q14" s="58" t="s">
        <v>354</v>
      </c>
      <c r="R14" s="59" t="s">
        <v>384</v>
      </c>
      <c r="S14" s="94">
        <v>43535</v>
      </c>
      <c r="T14" s="78" t="s">
        <v>362</v>
      </c>
      <c r="U14" s="93">
        <v>43567</v>
      </c>
      <c r="V14" s="78" t="s">
        <v>389</v>
      </c>
      <c r="W14" s="93">
        <v>43598</v>
      </c>
      <c r="X14" s="78" t="s">
        <v>401</v>
      </c>
      <c r="Y14" s="93">
        <v>43628</v>
      </c>
      <c r="Z14" s="78" t="s">
        <v>429</v>
      </c>
      <c r="AA14" s="93">
        <v>43658</v>
      </c>
      <c r="AB14" s="78" t="s">
        <v>433</v>
      </c>
      <c r="AC14" s="93">
        <v>43691</v>
      </c>
      <c r="AD14" s="78" t="s">
        <v>441</v>
      </c>
      <c r="AE14" s="93">
        <v>43724</v>
      </c>
      <c r="AF14" s="78" t="s">
        <v>450</v>
      </c>
      <c r="AG14" s="93">
        <v>43752</v>
      </c>
      <c r="AH14" s="78" t="s">
        <v>453</v>
      </c>
      <c r="AI14" s="93">
        <v>43782</v>
      </c>
      <c r="AJ14" s="78" t="s">
        <v>468</v>
      </c>
      <c r="AK14" s="93">
        <v>43811</v>
      </c>
      <c r="AL14" s="78" t="s">
        <v>490</v>
      </c>
      <c r="AM14" s="27"/>
      <c r="AN14" s="27"/>
    </row>
    <row r="15" spans="1:42" ht="33" customHeight="1" x14ac:dyDescent="0.3">
      <c r="A15" s="3"/>
      <c r="B15" s="8" t="s">
        <v>32</v>
      </c>
      <c r="C15" s="8" t="s">
        <v>80</v>
      </c>
      <c r="D15" s="28" t="s">
        <v>70</v>
      </c>
      <c r="E15" s="3" t="s">
        <v>66</v>
      </c>
      <c r="F15" s="3" t="s">
        <v>67</v>
      </c>
      <c r="G15" s="152">
        <v>10</v>
      </c>
      <c r="H15" s="29">
        <v>43444</v>
      </c>
      <c r="I15" s="188">
        <v>43830</v>
      </c>
      <c r="J15" s="21" t="s">
        <v>68</v>
      </c>
      <c r="K15" s="140">
        <v>200000</v>
      </c>
      <c r="L15" s="140">
        <f t="shared" si="0"/>
        <v>20000</v>
      </c>
      <c r="M15" s="7">
        <f t="shared" si="1"/>
        <v>220000</v>
      </c>
      <c r="N15" s="22">
        <v>10</v>
      </c>
      <c r="O15" s="58" t="s">
        <v>326</v>
      </c>
      <c r="P15" s="59" t="s">
        <v>327</v>
      </c>
      <c r="Q15" s="58" t="s">
        <v>354</v>
      </c>
      <c r="R15" s="59" t="s">
        <v>384</v>
      </c>
      <c r="S15" s="93">
        <v>43537</v>
      </c>
      <c r="T15" s="78" t="s">
        <v>362</v>
      </c>
      <c r="U15" s="93">
        <v>43567</v>
      </c>
      <c r="V15" s="78" t="s">
        <v>389</v>
      </c>
      <c r="W15" s="93">
        <v>43598</v>
      </c>
      <c r="X15" s="78" t="s">
        <v>401</v>
      </c>
      <c r="Y15" s="93">
        <v>43628</v>
      </c>
      <c r="Z15" s="78" t="s">
        <v>429</v>
      </c>
      <c r="AA15" s="93">
        <v>43658</v>
      </c>
      <c r="AB15" s="78" t="s">
        <v>433</v>
      </c>
      <c r="AC15" s="93">
        <v>43691</v>
      </c>
      <c r="AD15" s="78" t="s">
        <v>441</v>
      </c>
      <c r="AE15" s="93">
        <v>43724</v>
      </c>
      <c r="AF15" s="78" t="s">
        <v>450</v>
      </c>
      <c r="AG15" s="93">
        <v>43752</v>
      </c>
      <c r="AH15" s="78" t="s">
        <v>453</v>
      </c>
      <c r="AI15" s="93">
        <v>43782</v>
      </c>
      <c r="AJ15" s="78" t="s">
        <v>468</v>
      </c>
      <c r="AK15" s="93">
        <v>43811</v>
      </c>
      <c r="AL15" s="78" t="s">
        <v>490</v>
      </c>
      <c r="AM15" s="27"/>
      <c r="AN15" s="27"/>
    </row>
    <row r="16" spans="1:42" s="185" customFormat="1" ht="33" customHeight="1" x14ac:dyDescent="0.3">
      <c r="A16" s="3"/>
      <c r="B16" s="8" t="s">
        <v>483</v>
      </c>
      <c r="C16" s="8" t="s">
        <v>484</v>
      </c>
      <c r="D16" s="28" t="s">
        <v>70</v>
      </c>
      <c r="E16" s="3" t="s">
        <v>66</v>
      </c>
      <c r="F16" s="3" t="s">
        <v>67</v>
      </c>
      <c r="G16" s="152">
        <v>10</v>
      </c>
      <c r="H16" s="29">
        <v>43783</v>
      </c>
      <c r="I16" s="29">
        <v>44148</v>
      </c>
      <c r="J16" s="21" t="s">
        <v>68</v>
      </c>
      <c r="K16" s="5">
        <v>100000</v>
      </c>
      <c r="L16" s="5">
        <f t="shared" ref="L16" si="2">ROUNDDOWN(K16*10%,1)</f>
        <v>10000</v>
      </c>
      <c r="M16" s="7">
        <f t="shared" si="1"/>
        <v>110000</v>
      </c>
      <c r="N16" s="22">
        <v>10</v>
      </c>
      <c r="O16" s="58"/>
      <c r="P16" s="59"/>
      <c r="Q16" s="58"/>
      <c r="R16" s="59"/>
      <c r="S16" s="93"/>
      <c r="T16" s="78"/>
      <c r="U16" s="93"/>
      <c r="V16" s="78"/>
      <c r="W16" s="93"/>
      <c r="X16" s="78"/>
      <c r="Y16" s="93"/>
      <c r="Z16" s="78"/>
      <c r="AA16" s="93"/>
      <c r="AB16" s="78"/>
      <c r="AC16" s="93"/>
      <c r="AD16" s="78"/>
      <c r="AE16" s="95"/>
      <c r="AF16" s="157"/>
      <c r="AG16" s="95"/>
      <c r="AH16" s="157"/>
      <c r="AI16" s="95"/>
      <c r="AJ16" s="157"/>
      <c r="AK16" s="93">
        <v>43811</v>
      </c>
      <c r="AL16" s="78" t="s">
        <v>490</v>
      </c>
      <c r="AM16" s="27"/>
      <c r="AN16" s="27"/>
    </row>
    <row r="17" spans="1:40" ht="33" customHeight="1" x14ac:dyDescent="0.3">
      <c r="A17" s="3"/>
      <c r="B17" s="8" t="s">
        <v>34</v>
      </c>
      <c r="C17" s="8" t="s">
        <v>81</v>
      </c>
      <c r="D17" s="28" t="s">
        <v>70</v>
      </c>
      <c r="E17" s="3">
        <v>15</v>
      </c>
      <c r="F17" s="3">
        <v>14</v>
      </c>
      <c r="G17" s="152">
        <v>15</v>
      </c>
      <c r="H17" s="20">
        <v>42915</v>
      </c>
      <c r="I17" s="20">
        <v>43644</v>
      </c>
      <c r="J17" s="21" t="s">
        <v>68</v>
      </c>
      <c r="K17" s="140">
        <v>120000</v>
      </c>
      <c r="L17" s="140">
        <f t="shared" si="0"/>
        <v>12000</v>
      </c>
      <c r="M17" s="7">
        <f t="shared" si="1"/>
        <v>132000</v>
      </c>
      <c r="N17" s="22">
        <v>15</v>
      </c>
      <c r="O17" s="58" t="s">
        <v>329</v>
      </c>
      <c r="P17" s="59" t="s">
        <v>330</v>
      </c>
      <c r="Q17" s="58" t="s">
        <v>359</v>
      </c>
      <c r="R17" s="59" t="s">
        <v>384</v>
      </c>
      <c r="S17" s="93">
        <v>43542</v>
      </c>
      <c r="T17" s="77" t="s">
        <v>361</v>
      </c>
      <c r="U17" s="93">
        <v>43572</v>
      </c>
      <c r="V17" s="77" t="s">
        <v>390</v>
      </c>
      <c r="W17" s="93">
        <v>43602</v>
      </c>
      <c r="X17" s="77" t="s">
        <v>402</v>
      </c>
      <c r="Y17" s="93">
        <v>43633</v>
      </c>
      <c r="Z17" s="77" t="s">
        <v>430</v>
      </c>
      <c r="AA17" s="139">
        <v>43663</v>
      </c>
      <c r="AB17" s="77" t="s">
        <v>438</v>
      </c>
      <c r="AC17" s="93">
        <v>43696</v>
      </c>
      <c r="AD17" s="77" t="s">
        <v>446</v>
      </c>
      <c r="AE17" s="93">
        <v>43726</v>
      </c>
      <c r="AF17" s="77" t="s">
        <v>451</v>
      </c>
      <c r="AG17" s="93">
        <v>43755</v>
      </c>
      <c r="AH17" s="77" t="s">
        <v>464</v>
      </c>
      <c r="AI17" s="93">
        <v>43787</v>
      </c>
      <c r="AJ17" s="77" t="s">
        <v>469</v>
      </c>
      <c r="AK17" s="93">
        <v>43817</v>
      </c>
      <c r="AL17" s="77" t="s">
        <v>491</v>
      </c>
      <c r="AM17" s="27"/>
      <c r="AN17" s="27"/>
    </row>
    <row r="18" spans="1:40" ht="33" customHeight="1" x14ac:dyDescent="0.3">
      <c r="A18" s="3"/>
      <c r="B18" s="8" t="s">
        <v>39</v>
      </c>
      <c r="C18" s="8" t="s">
        <v>82</v>
      </c>
      <c r="D18" s="28" t="s">
        <v>70</v>
      </c>
      <c r="E18" s="3" t="s">
        <v>66</v>
      </c>
      <c r="F18" s="3" t="s">
        <v>67</v>
      </c>
      <c r="G18" s="152">
        <v>31</v>
      </c>
      <c r="H18" s="20">
        <v>42913</v>
      </c>
      <c r="I18" s="20">
        <v>43277</v>
      </c>
      <c r="J18" s="21" t="s">
        <v>68</v>
      </c>
      <c r="K18" s="5">
        <v>70000</v>
      </c>
      <c r="L18" s="5">
        <f t="shared" si="0"/>
        <v>7000</v>
      </c>
      <c r="M18" s="7">
        <f t="shared" si="1"/>
        <v>77000</v>
      </c>
      <c r="N18" s="22">
        <v>15</v>
      </c>
      <c r="O18" s="58" t="s">
        <v>329</v>
      </c>
      <c r="P18" s="59" t="s">
        <v>330</v>
      </c>
      <c r="Q18" s="58" t="s">
        <v>359</v>
      </c>
      <c r="R18" s="59" t="s">
        <v>384</v>
      </c>
      <c r="S18" s="93">
        <v>43542</v>
      </c>
      <c r="T18" s="77" t="s">
        <v>361</v>
      </c>
      <c r="U18" s="93">
        <v>43572</v>
      </c>
      <c r="V18" s="77" t="s">
        <v>390</v>
      </c>
      <c r="W18" s="93">
        <v>43602</v>
      </c>
      <c r="X18" s="77" t="s">
        <v>402</v>
      </c>
      <c r="Y18" s="93">
        <v>43633</v>
      </c>
      <c r="Z18" s="77" t="s">
        <v>430</v>
      </c>
      <c r="AA18" s="93">
        <v>43663</v>
      </c>
      <c r="AB18" s="77" t="s">
        <v>438</v>
      </c>
      <c r="AC18" s="93">
        <v>43696</v>
      </c>
      <c r="AD18" s="77" t="s">
        <v>446</v>
      </c>
      <c r="AE18" s="93">
        <v>43726</v>
      </c>
      <c r="AF18" s="77" t="s">
        <v>451</v>
      </c>
      <c r="AG18" s="98">
        <v>43761</v>
      </c>
      <c r="AH18" s="77" t="s">
        <v>464</v>
      </c>
      <c r="AI18" s="93">
        <v>43787</v>
      </c>
      <c r="AJ18" s="77" t="s">
        <v>469</v>
      </c>
      <c r="AK18" s="93">
        <v>43817</v>
      </c>
      <c r="AL18" s="77" t="s">
        <v>491</v>
      </c>
      <c r="AM18" s="27"/>
      <c r="AN18" s="27"/>
    </row>
    <row r="19" spans="1:40" ht="33" customHeight="1" x14ac:dyDescent="0.3">
      <c r="A19" s="3"/>
      <c r="B19" s="8" t="s">
        <v>40</v>
      </c>
      <c r="C19" s="8" t="s">
        <v>83</v>
      </c>
      <c r="D19" s="28" t="s">
        <v>70</v>
      </c>
      <c r="E19" s="3" t="s">
        <v>66</v>
      </c>
      <c r="F19" s="3" t="s">
        <v>67</v>
      </c>
      <c r="G19" s="152">
        <v>31</v>
      </c>
      <c r="H19" s="20">
        <v>42901</v>
      </c>
      <c r="I19" s="90">
        <v>43630</v>
      </c>
      <c r="J19" s="21" t="s">
        <v>68</v>
      </c>
      <c r="K19" s="5">
        <v>100000</v>
      </c>
      <c r="L19" s="5">
        <f t="shared" si="0"/>
        <v>10000</v>
      </c>
      <c r="M19" s="7">
        <f t="shared" si="1"/>
        <v>110000</v>
      </c>
      <c r="N19" s="22">
        <v>15</v>
      </c>
      <c r="O19" s="58" t="s">
        <v>329</v>
      </c>
      <c r="P19" s="59" t="s">
        <v>330</v>
      </c>
      <c r="Q19" s="58" t="s">
        <v>359</v>
      </c>
      <c r="R19" s="59" t="s">
        <v>384</v>
      </c>
      <c r="S19" s="93">
        <v>43542</v>
      </c>
      <c r="T19" s="77" t="s">
        <v>361</v>
      </c>
      <c r="U19" s="93">
        <v>43572</v>
      </c>
      <c r="V19" s="77" t="s">
        <v>390</v>
      </c>
      <c r="W19" s="93">
        <v>43602</v>
      </c>
      <c r="X19" s="77" t="s">
        <v>402</v>
      </c>
      <c r="Y19" s="93">
        <v>43633</v>
      </c>
      <c r="Z19" s="77" t="s">
        <v>430</v>
      </c>
      <c r="AA19" s="93">
        <v>43663</v>
      </c>
      <c r="AB19" s="77" t="s">
        <v>438</v>
      </c>
      <c r="AC19" s="93">
        <v>43696</v>
      </c>
      <c r="AD19" s="77" t="s">
        <v>446</v>
      </c>
      <c r="AE19" s="93">
        <v>43726</v>
      </c>
      <c r="AF19" s="77" t="s">
        <v>451</v>
      </c>
      <c r="AG19" s="93">
        <v>43755</v>
      </c>
      <c r="AH19" s="77" t="s">
        <v>464</v>
      </c>
      <c r="AI19" s="93">
        <v>43787</v>
      </c>
      <c r="AJ19" s="77" t="s">
        <v>469</v>
      </c>
      <c r="AK19" s="93">
        <v>43817</v>
      </c>
      <c r="AL19" s="77" t="s">
        <v>491</v>
      </c>
      <c r="AM19" s="27"/>
      <c r="AN19" s="27"/>
    </row>
    <row r="20" spans="1:40" ht="33" customHeight="1" x14ac:dyDescent="0.3">
      <c r="A20" s="3"/>
      <c r="B20" s="8" t="s">
        <v>27</v>
      </c>
      <c r="C20" s="8" t="s">
        <v>84</v>
      </c>
      <c r="D20" s="28" t="s">
        <v>70</v>
      </c>
      <c r="E20" s="3" t="s">
        <v>66</v>
      </c>
      <c r="F20" s="3" t="s">
        <v>67</v>
      </c>
      <c r="G20" s="152">
        <v>10</v>
      </c>
      <c r="H20" s="20">
        <v>42956</v>
      </c>
      <c r="I20" s="20">
        <v>43320</v>
      </c>
      <c r="J20" s="21" t="s">
        <v>68</v>
      </c>
      <c r="K20" s="5">
        <v>100000</v>
      </c>
      <c r="L20" s="5">
        <f t="shared" si="0"/>
        <v>10000</v>
      </c>
      <c r="M20" s="7">
        <f t="shared" si="1"/>
        <v>110000</v>
      </c>
      <c r="N20" s="22">
        <v>15</v>
      </c>
      <c r="O20" s="58" t="s">
        <v>329</v>
      </c>
      <c r="P20" s="59" t="s">
        <v>330</v>
      </c>
      <c r="Q20" s="58" t="s">
        <v>359</v>
      </c>
      <c r="R20" s="59" t="s">
        <v>384</v>
      </c>
      <c r="S20" s="93">
        <v>43542</v>
      </c>
      <c r="T20" s="77" t="s">
        <v>361</v>
      </c>
      <c r="U20" s="93">
        <v>43572</v>
      </c>
      <c r="V20" s="77" t="s">
        <v>390</v>
      </c>
      <c r="W20" s="93">
        <v>43602</v>
      </c>
      <c r="X20" s="77" t="s">
        <v>402</v>
      </c>
      <c r="Y20" s="98">
        <v>43640</v>
      </c>
      <c r="Z20" s="77" t="s">
        <v>430</v>
      </c>
      <c r="AA20" s="93">
        <v>43663</v>
      </c>
      <c r="AB20" s="77" t="s">
        <v>438</v>
      </c>
      <c r="AC20" s="93">
        <v>43696</v>
      </c>
      <c r="AD20" s="77" t="s">
        <v>446</v>
      </c>
      <c r="AE20" s="93">
        <v>43726</v>
      </c>
      <c r="AF20" s="77" t="s">
        <v>451</v>
      </c>
      <c r="AG20" s="93">
        <v>43755</v>
      </c>
      <c r="AH20" s="77" t="s">
        <v>464</v>
      </c>
      <c r="AI20" s="93">
        <v>43787</v>
      </c>
      <c r="AJ20" s="77" t="s">
        <v>469</v>
      </c>
      <c r="AK20" s="98">
        <v>43822</v>
      </c>
      <c r="AL20" s="77" t="s">
        <v>491</v>
      </c>
      <c r="AM20" s="27"/>
      <c r="AN20" s="27"/>
    </row>
    <row r="21" spans="1:40" ht="33" customHeight="1" x14ac:dyDescent="0.3">
      <c r="A21" s="3"/>
      <c r="B21" s="8" t="s">
        <v>29</v>
      </c>
      <c r="C21" s="8" t="s">
        <v>87</v>
      </c>
      <c r="D21" s="28" t="s">
        <v>70</v>
      </c>
      <c r="E21" s="3" t="s">
        <v>66</v>
      </c>
      <c r="F21" s="3" t="s">
        <v>67</v>
      </c>
      <c r="G21" s="152">
        <v>10</v>
      </c>
      <c r="H21" s="20">
        <v>43207</v>
      </c>
      <c r="I21" s="20">
        <v>43571</v>
      </c>
      <c r="J21" s="20" t="s">
        <v>68</v>
      </c>
      <c r="K21" s="5">
        <v>100000</v>
      </c>
      <c r="L21" s="5">
        <f t="shared" si="0"/>
        <v>10000</v>
      </c>
      <c r="M21" s="7">
        <f t="shared" si="1"/>
        <v>110000</v>
      </c>
      <c r="N21" s="22">
        <v>15</v>
      </c>
      <c r="O21" s="58" t="s">
        <v>329</v>
      </c>
      <c r="P21" s="59" t="s">
        <v>330</v>
      </c>
      <c r="Q21" s="58" t="s">
        <v>359</v>
      </c>
      <c r="R21" s="59" t="s">
        <v>384</v>
      </c>
      <c r="S21" s="93">
        <v>43542</v>
      </c>
      <c r="T21" s="77" t="s">
        <v>361</v>
      </c>
      <c r="U21" s="93">
        <v>43572</v>
      </c>
      <c r="V21" s="77" t="s">
        <v>390</v>
      </c>
      <c r="W21" s="93">
        <v>43602</v>
      </c>
      <c r="X21" s="77" t="s">
        <v>402</v>
      </c>
      <c r="Y21" s="93">
        <v>43633</v>
      </c>
      <c r="Z21" s="77" t="s">
        <v>430</v>
      </c>
      <c r="AA21" s="93">
        <v>43663</v>
      </c>
      <c r="AB21" s="77" t="s">
        <v>438</v>
      </c>
      <c r="AC21" s="93">
        <v>43696</v>
      </c>
      <c r="AD21" s="77" t="s">
        <v>446</v>
      </c>
      <c r="AE21" s="93">
        <v>43726</v>
      </c>
      <c r="AF21" s="77" t="s">
        <v>451</v>
      </c>
      <c r="AG21" s="93">
        <v>43755</v>
      </c>
      <c r="AH21" s="77" t="s">
        <v>464</v>
      </c>
      <c r="AI21" s="93">
        <v>43787</v>
      </c>
      <c r="AJ21" s="77" t="s">
        <v>469</v>
      </c>
      <c r="AK21" s="93">
        <v>43817</v>
      </c>
      <c r="AL21" s="77" t="s">
        <v>491</v>
      </c>
      <c r="AM21" s="27"/>
      <c r="AN21" s="27"/>
    </row>
    <row r="22" spans="1:40" ht="33" customHeight="1" x14ac:dyDescent="0.3">
      <c r="A22" s="3"/>
      <c r="B22" s="8" t="s">
        <v>15</v>
      </c>
      <c r="C22" s="8" t="s">
        <v>88</v>
      </c>
      <c r="D22" s="28" t="s">
        <v>70</v>
      </c>
      <c r="E22" s="3" t="s">
        <v>66</v>
      </c>
      <c r="F22" s="3" t="s">
        <v>67</v>
      </c>
      <c r="G22" s="152">
        <v>5</v>
      </c>
      <c r="H22" s="20">
        <v>43191</v>
      </c>
      <c r="I22" s="20">
        <v>43555</v>
      </c>
      <c r="J22" s="21" t="s">
        <v>68</v>
      </c>
      <c r="K22" s="5">
        <v>50000</v>
      </c>
      <c r="L22" s="5">
        <f t="shared" si="0"/>
        <v>5000</v>
      </c>
      <c r="M22" s="7">
        <f t="shared" si="1"/>
        <v>55000</v>
      </c>
      <c r="N22" s="22">
        <v>20</v>
      </c>
      <c r="O22" s="58" t="s">
        <v>341</v>
      </c>
      <c r="P22" s="59" t="s">
        <v>342</v>
      </c>
      <c r="Q22" s="58" t="s">
        <v>360</v>
      </c>
      <c r="R22" s="59" t="s">
        <v>384</v>
      </c>
      <c r="S22" s="93">
        <v>43546</v>
      </c>
      <c r="T22" s="77" t="s">
        <v>361</v>
      </c>
      <c r="U22" s="93">
        <v>43579</v>
      </c>
      <c r="V22" s="77" t="s">
        <v>390</v>
      </c>
      <c r="W22" s="93">
        <v>43607</v>
      </c>
      <c r="X22" s="77" t="s">
        <v>402</v>
      </c>
      <c r="Y22" s="93">
        <v>43640</v>
      </c>
      <c r="Z22" s="77" t="s">
        <v>430</v>
      </c>
      <c r="AA22" s="93">
        <v>43670</v>
      </c>
      <c r="AB22" s="77" t="s">
        <v>438</v>
      </c>
      <c r="AC22" s="93">
        <v>43699</v>
      </c>
      <c r="AD22" s="77" t="s">
        <v>446</v>
      </c>
      <c r="AE22" s="93">
        <v>43731</v>
      </c>
      <c r="AF22" s="77" t="s">
        <v>451</v>
      </c>
      <c r="AG22" s="93">
        <v>43761</v>
      </c>
      <c r="AH22" s="77" t="s">
        <v>464</v>
      </c>
      <c r="AI22" s="93">
        <v>43791</v>
      </c>
      <c r="AJ22" s="77" t="s">
        <v>469</v>
      </c>
      <c r="AK22" s="93">
        <v>43822</v>
      </c>
      <c r="AL22" s="77" t="s">
        <v>491</v>
      </c>
      <c r="AM22" s="27"/>
      <c r="AN22" s="27"/>
    </row>
    <row r="23" spans="1:40" ht="33" customHeight="1" x14ac:dyDescent="0.3">
      <c r="A23" s="3"/>
      <c r="B23" s="8" t="s">
        <v>16</v>
      </c>
      <c r="C23" s="8" t="s">
        <v>89</v>
      </c>
      <c r="D23" s="28" t="s">
        <v>70</v>
      </c>
      <c r="E23" s="3" t="s">
        <v>66</v>
      </c>
      <c r="F23" s="3" t="s">
        <v>67</v>
      </c>
      <c r="G23" s="152">
        <v>5</v>
      </c>
      <c r="H23" s="20">
        <v>42948</v>
      </c>
      <c r="I23" s="90">
        <v>43677</v>
      </c>
      <c r="J23" s="21" t="s">
        <v>68</v>
      </c>
      <c r="K23" s="5">
        <v>300000</v>
      </c>
      <c r="L23" s="5">
        <f t="shared" si="0"/>
        <v>30000</v>
      </c>
      <c r="M23" s="7">
        <f t="shared" si="1"/>
        <v>330000</v>
      </c>
      <c r="N23" s="22">
        <v>20</v>
      </c>
      <c r="O23" s="58" t="s">
        <v>341</v>
      </c>
      <c r="P23" s="59" t="s">
        <v>343</v>
      </c>
      <c r="Q23" s="58" t="s">
        <v>360</v>
      </c>
      <c r="R23" s="59" t="s">
        <v>384</v>
      </c>
      <c r="S23" s="93">
        <v>43546</v>
      </c>
      <c r="T23" s="77" t="s">
        <v>361</v>
      </c>
      <c r="U23" s="93">
        <v>43579</v>
      </c>
      <c r="V23" s="77" t="s">
        <v>390</v>
      </c>
      <c r="W23" s="93">
        <v>43607</v>
      </c>
      <c r="X23" s="77" t="s">
        <v>402</v>
      </c>
      <c r="Y23" s="93">
        <v>43640</v>
      </c>
      <c r="Z23" s="77" t="s">
        <v>430</v>
      </c>
      <c r="AA23" s="93">
        <v>43670</v>
      </c>
      <c r="AB23" s="77" t="s">
        <v>438</v>
      </c>
      <c r="AC23" s="93">
        <v>43699</v>
      </c>
      <c r="AD23" s="77" t="s">
        <v>446</v>
      </c>
      <c r="AE23" s="93">
        <v>43731</v>
      </c>
      <c r="AF23" s="77" t="s">
        <v>451</v>
      </c>
      <c r="AG23" s="93">
        <v>43761</v>
      </c>
      <c r="AH23" s="77" t="s">
        <v>464</v>
      </c>
      <c r="AI23" s="93">
        <v>43791</v>
      </c>
      <c r="AJ23" s="77" t="s">
        <v>469</v>
      </c>
      <c r="AK23" s="93">
        <v>43822</v>
      </c>
      <c r="AL23" s="77" t="s">
        <v>491</v>
      </c>
      <c r="AM23" s="27"/>
      <c r="AN23" s="27"/>
    </row>
    <row r="24" spans="1:40" ht="33" customHeight="1" x14ac:dyDescent="0.3">
      <c r="A24" s="3"/>
      <c r="B24" s="8" t="s">
        <v>36</v>
      </c>
      <c r="C24" s="99" t="s">
        <v>388</v>
      </c>
      <c r="D24" s="28" t="s">
        <v>70</v>
      </c>
      <c r="E24" s="3">
        <v>25</v>
      </c>
      <c r="F24" s="3">
        <v>24</v>
      </c>
      <c r="G24" s="152">
        <v>25</v>
      </c>
      <c r="H24" s="20">
        <v>42985</v>
      </c>
      <c r="I24" s="20">
        <v>43714</v>
      </c>
      <c r="J24" s="21" t="s">
        <v>68</v>
      </c>
      <c r="K24" s="5">
        <v>100000</v>
      </c>
      <c r="L24" s="5">
        <f t="shared" si="0"/>
        <v>10000</v>
      </c>
      <c r="M24" s="7">
        <f t="shared" si="1"/>
        <v>110000</v>
      </c>
      <c r="N24" s="22">
        <v>20</v>
      </c>
      <c r="O24" s="58" t="s">
        <v>341</v>
      </c>
      <c r="P24" s="59" t="s">
        <v>344</v>
      </c>
      <c r="Q24" s="58" t="s">
        <v>360</v>
      </c>
      <c r="R24" s="59" t="s">
        <v>384</v>
      </c>
      <c r="S24" s="93">
        <v>43546</v>
      </c>
      <c r="T24" s="77" t="s">
        <v>361</v>
      </c>
      <c r="U24" s="93">
        <v>43579</v>
      </c>
      <c r="V24" s="77" t="s">
        <v>390</v>
      </c>
      <c r="W24" s="93">
        <v>43607</v>
      </c>
      <c r="X24" s="77" t="s">
        <v>402</v>
      </c>
      <c r="Y24" s="93">
        <v>43640</v>
      </c>
      <c r="Z24" s="77" t="s">
        <v>430</v>
      </c>
      <c r="AA24" s="93">
        <v>43670</v>
      </c>
      <c r="AB24" s="77" t="s">
        <v>438</v>
      </c>
      <c r="AC24" s="93">
        <v>43699</v>
      </c>
      <c r="AD24" s="77" t="s">
        <v>446</v>
      </c>
      <c r="AE24" s="93">
        <v>43731</v>
      </c>
      <c r="AF24" s="77" t="s">
        <v>451</v>
      </c>
      <c r="AG24" s="93">
        <v>43761</v>
      </c>
      <c r="AH24" s="77" t="s">
        <v>464</v>
      </c>
      <c r="AI24" s="93">
        <v>43791</v>
      </c>
      <c r="AJ24" s="77" t="s">
        <v>469</v>
      </c>
      <c r="AK24" s="93">
        <v>43822</v>
      </c>
      <c r="AL24" s="77" t="s">
        <v>491</v>
      </c>
      <c r="AM24" s="27"/>
      <c r="AN24" s="27"/>
    </row>
    <row r="25" spans="1:40" ht="33" customHeight="1" x14ac:dyDescent="0.3">
      <c r="A25" s="3"/>
      <c r="B25" s="8" t="s">
        <v>41</v>
      </c>
      <c r="C25" s="8" t="s">
        <v>91</v>
      </c>
      <c r="D25" s="28" t="s">
        <v>70</v>
      </c>
      <c r="E25" s="3" t="s">
        <v>66</v>
      </c>
      <c r="F25" s="3" t="s">
        <v>67</v>
      </c>
      <c r="G25" s="152">
        <v>31</v>
      </c>
      <c r="H25" s="20">
        <v>42736</v>
      </c>
      <c r="I25" s="20">
        <v>43100</v>
      </c>
      <c r="J25" s="21" t="s">
        <v>68</v>
      </c>
      <c r="K25" s="5">
        <v>70000</v>
      </c>
      <c r="L25" s="5">
        <f t="shared" si="0"/>
        <v>7000</v>
      </c>
      <c r="M25" s="7">
        <f t="shared" si="1"/>
        <v>77000</v>
      </c>
      <c r="N25" s="22">
        <v>20</v>
      </c>
      <c r="O25" s="58" t="s">
        <v>341</v>
      </c>
      <c r="P25" s="59" t="s">
        <v>345</v>
      </c>
      <c r="Q25" s="58" t="s">
        <v>360</v>
      </c>
      <c r="R25" s="59" t="s">
        <v>384</v>
      </c>
      <c r="S25" s="93">
        <v>43546</v>
      </c>
      <c r="T25" s="77" t="s">
        <v>361</v>
      </c>
      <c r="U25" s="93">
        <v>43579</v>
      </c>
      <c r="V25" s="77" t="s">
        <v>390</v>
      </c>
      <c r="W25" s="93">
        <v>43607</v>
      </c>
      <c r="X25" s="77" t="s">
        <v>402</v>
      </c>
      <c r="Y25" s="93">
        <v>43640</v>
      </c>
      <c r="Z25" s="77" t="s">
        <v>430</v>
      </c>
      <c r="AA25" s="93">
        <v>43670</v>
      </c>
      <c r="AB25" s="77" t="s">
        <v>438</v>
      </c>
      <c r="AC25" s="93">
        <v>43699</v>
      </c>
      <c r="AD25" s="77" t="s">
        <v>446</v>
      </c>
      <c r="AE25" s="93">
        <v>43731</v>
      </c>
      <c r="AF25" s="77" t="s">
        <v>451</v>
      </c>
      <c r="AG25" s="93">
        <v>43761</v>
      </c>
      <c r="AH25" s="77" t="s">
        <v>464</v>
      </c>
      <c r="AI25" s="93">
        <v>43791</v>
      </c>
      <c r="AJ25" s="77" t="s">
        <v>469</v>
      </c>
      <c r="AK25" s="93">
        <v>43822</v>
      </c>
      <c r="AL25" s="77" t="s">
        <v>491</v>
      </c>
      <c r="AM25" s="27"/>
      <c r="AN25" s="27"/>
    </row>
    <row r="26" spans="1:40" ht="33" customHeight="1" x14ac:dyDescent="0.3">
      <c r="A26" s="3"/>
      <c r="B26" s="8" t="s">
        <v>42</v>
      </c>
      <c r="C26" s="8" t="s">
        <v>92</v>
      </c>
      <c r="D26" s="28" t="s">
        <v>70</v>
      </c>
      <c r="E26" s="3" t="s">
        <v>66</v>
      </c>
      <c r="F26" s="3" t="s">
        <v>67</v>
      </c>
      <c r="G26" s="152">
        <v>31</v>
      </c>
      <c r="H26" s="20">
        <v>42950</v>
      </c>
      <c r="I26" s="20">
        <v>43314</v>
      </c>
      <c r="J26" s="21" t="s">
        <v>68</v>
      </c>
      <c r="K26" s="140">
        <v>130000</v>
      </c>
      <c r="L26" s="140">
        <f t="shared" si="0"/>
        <v>13000</v>
      </c>
      <c r="M26" s="7">
        <f t="shared" si="1"/>
        <v>143000</v>
      </c>
      <c r="N26" s="22">
        <v>20</v>
      </c>
      <c r="O26" s="58" t="s">
        <v>341</v>
      </c>
      <c r="P26" s="59" t="s">
        <v>346</v>
      </c>
      <c r="Q26" s="58" t="s">
        <v>360</v>
      </c>
      <c r="R26" s="59" t="s">
        <v>384</v>
      </c>
      <c r="S26" s="93">
        <v>43546</v>
      </c>
      <c r="T26" s="77" t="s">
        <v>361</v>
      </c>
      <c r="U26" s="93">
        <v>43579</v>
      </c>
      <c r="V26" s="77" t="s">
        <v>390</v>
      </c>
      <c r="W26" s="93">
        <v>43607</v>
      </c>
      <c r="X26" s="77" t="s">
        <v>402</v>
      </c>
      <c r="Y26" s="93">
        <v>43640</v>
      </c>
      <c r="Z26" s="77" t="s">
        <v>430</v>
      </c>
      <c r="AA26" s="93">
        <v>43670</v>
      </c>
      <c r="AB26" s="77" t="s">
        <v>438</v>
      </c>
      <c r="AC26" s="139">
        <v>43699</v>
      </c>
      <c r="AD26" s="159" t="s">
        <v>446</v>
      </c>
      <c r="AE26" s="93">
        <v>43731</v>
      </c>
      <c r="AF26" s="77" t="s">
        <v>451</v>
      </c>
      <c r="AG26" s="93">
        <v>43761</v>
      </c>
      <c r="AH26" s="77" t="s">
        <v>464</v>
      </c>
      <c r="AI26" s="93">
        <v>43791</v>
      </c>
      <c r="AJ26" s="77" t="s">
        <v>469</v>
      </c>
      <c r="AK26" s="93">
        <v>43822</v>
      </c>
      <c r="AL26" s="77" t="s">
        <v>491</v>
      </c>
      <c r="AM26" s="27"/>
      <c r="AN26" s="27"/>
    </row>
    <row r="27" spans="1:40" ht="33" customHeight="1" x14ac:dyDescent="0.3">
      <c r="A27" s="3"/>
      <c r="B27" s="8" t="s">
        <v>31</v>
      </c>
      <c r="C27" s="8" t="s">
        <v>93</v>
      </c>
      <c r="D27" s="28" t="s">
        <v>70</v>
      </c>
      <c r="E27" s="3" t="s">
        <v>66</v>
      </c>
      <c r="F27" s="3" t="s">
        <v>67</v>
      </c>
      <c r="G27" s="152">
        <v>10</v>
      </c>
      <c r="H27" s="29">
        <v>43388</v>
      </c>
      <c r="I27" s="29">
        <v>43752</v>
      </c>
      <c r="J27" s="21" t="s">
        <v>68</v>
      </c>
      <c r="K27" s="140">
        <v>150000</v>
      </c>
      <c r="L27" s="140">
        <f t="shared" si="0"/>
        <v>15000</v>
      </c>
      <c r="M27" s="7">
        <f t="shared" si="1"/>
        <v>165000</v>
      </c>
      <c r="N27" s="22">
        <v>20</v>
      </c>
      <c r="O27" s="58" t="s">
        <v>341</v>
      </c>
      <c r="P27" s="59" t="s">
        <v>347</v>
      </c>
      <c r="Q27" s="58" t="s">
        <v>360</v>
      </c>
      <c r="R27" s="59" t="s">
        <v>384</v>
      </c>
      <c r="S27" s="98">
        <v>43551</v>
      </c>
      <c r="T27" s="77" t="s">
        <v>361</v>
      </c>
      <c r="U27" s="93">
        <v>43579</v>
      </c>
      <c r="V27" s="77" t="s">
        <v>390</v>
      </c>
      <c r="W27" s="93">
        <v>43607</v>
      </c>
      <c r="X27" s="77" t="s">
        <v>402</v>
      </c>
      <c r="Y27" s="93">
        <v>43640</v>
      </c>
      <c r="Z27" s="77" t="s">
        <v>430</v>
      </c>
      <c r="AA27" s="93">
        <v>43670</v>
      </c>
      <c r="AB27" s="77" t="s">
        <v>438</v>
      </c>
      <c r="AC27" s="93">
        <v>43699</v>
      </c>
      <c r="AD27" s="77" t="s">
        <v>446</v>
      </c>
      <c r="AE27" s="93">
        <v>43731</v>
      </c>
      <c r="AF27" s="77" t="s">
        <v>451</v>
      </c>
      <c r="AG27" s="93">
        <v>43761</v>
      </c>
      <c r="AH27" s="77" t="s">
        <v>464</v>
      </c>
      <c r="AI27" s="139">
        <v>43791</v>
      </c>
      <c r="AJ27" s="77" t="s">
        <v>469</v>
      </c>
      <c r="AK27" s="93">
        <v>43822</v>
      </c>
      <c r="AL27" s="77" t="s">
        <v>491</v>
      </c>
      <c r="AM27" s="27"/>
      <c r="AN27" s="27"/>
    </row>
    <row r="28" spans="1:40" ht="33" customHeight="1" x14ac:dyDescent="0.3">
      <c r="A28" s="3"/>
      <c r="B28" s="60" t="s">
        <v>331</v>
      </c>
      <c r="C28" s="60" t="s">
        <v>332</v>
      </c>
      <c r="D28" s="62" t="s">
        <v>333</v>
      </c>
      <c r="E28" s="3" t="s">
        <v>334</v>
      </c>
      <c r="F28" s="3" t="s">
        <v>335</v>
      </c>
      <c r="G28" s="154">
        <v>5</v>
      </c>
      <c r="H28" s="65">
        <v>43466</v>
      </c>
      <c r="I28" s="189">
        <v>43830</v>
      </c>
      <c r="J28" s="67" t="s">
        <v>336</v>
      </c>
      <c r="K28" s="69">
        <v>100000</v>
      </c>
      <c r="L28" s="69">
        <f t="shared" si="0"/>
        <v>10000</v>
      </c>
      <c r="M28" s="7">
        <f t="shared" si="1"/>
        <v>110000</v>
      </c>
      <c r="N28" s="22">
        <v>20</v>
      </c>
      <c r="O28" s="58" t="s">
        <v>341</v>
      </c>
      <c r="P28" s="59" t="s">
        <v>348</v>
      </c>
      <c r="Q28" s="58" t="s">
        <v>360</v>
      </c>
      <c r="R28" s="59" t="s">
        <v>384</v>
      </c>
      <c r="S28" s="93">
        <v>43546</v>
      </c>
      <c r="T28" s="77" t="s">
        <v>361</v>
      </c>
      <c r="U28" s="93">
        <v>43579</v>
      </c>
      <c r="V28" s="77" t="s">
        <v>390</v>
      </c>
      <c r="W28" s="93">
        <v>43607</v>
      </c>
      <c r="X28" s="77" t="s">
        <v>402</v>
      </c>
      <c r="Y28" s="93">
        <v>43640</v>
      </c>
      <c r="Z28" s="77" t="s">
        <v>430</v>
      </c>
      <c r="AA28" s="93">
        <v>43670</v>
      </c>
      <c r="AB28" s="77" t="s">
        <v>438</v>
      </c>
      <c r="AC28" s="93">
        <v>43699</v>
      </c>
      <c r="AD28" s="77" t="s">
        <v>446</v>
      </c>
      <c r="AE28" s="93">
        <v>43731</v>
      </c>
      <c r="AF28" s="77" t="s">
        <v>451</v>
      </c>
      <c r="AG28" s="93">
        <v>43761</v>
      </c>
      <c r="AH28" s="77" t="s">
        <v>464</v>
      </c>
      <c r="AI28" s="93">
        <v>43791</v>
      </c>
      <c r="AJ28" s="77" t="s">
        <v>469</v>
      </c>
      <c r="AK28" s="93">
        <v>43822</v>
      </c>
      <c r="AL28" s="77" t="s">
        <v>491</v>
      </c>
      <c r="AM28" s="27"/>
      <c r="AN28" s="27"/>
    </row>
    <row r="29" spans="1:40" ht="33" customHeight="1" x14ac:dyDescent="0.3">
      <c r="A29" s="3"/>
      <c r="B29" s="8" t="s">
        <v>8</v>
      </c>
      <c r="C29" s="8" t="s">
        <v>85</v>
      </c>
      <c r="D29" s="86" t="s">
        <v>374</v>
      </c>
      <c r="E29" s="3"/>
      <c r="F29" s="3"/>
      <c r="G29" s="152"/>
      <c r="H29" s="20">
        <v>43193</v>
      </c>
      <c r="I29" s="20">
        <v>43557</v>
      </c>
      <c r="J29" s="20" t="s">
        <v>68</v>
      </c>
      <c r="K29" s="140">
        <v>220000</v>
      </c>
      <c r="L29" s="140">
        <f t="shared" si="0"/>
        <v>22000</v>
      </c>
      <c r="M29" s="7">
        <f t="shared" si="1"/>
        <v>242000</v>
      </c>
      <c r="N29" s="22">
        <v>25</v>
      </c>
      <c r="O29" s="58" t="s">
        <v>351</v>
      </c>
      <c r="P29" s="59" t="s">
        <v>330</v>
      </c>
      <c r="Q29" s="58" t="s">
        <v>357</v>
      </c>
      <c r="R29" s="59" t="s">
        <v>378</v>
      </c>
      <c r="S29" s="93">
        <v>43552</v>
      </c>
      <c r="T29" s="79" t="s">
        <v>363</v>
      </c>
      <c r="U29" s="93">
        <v>43584</v>
      </c>
      <c r="V29" s="104" t="s">
        <v>400</v>
      </c>
      <c r="W29" s="93">
        <v>43609</v>
      </c>
      <c r="X29" s="79" t="s">
        <v>428</v>
      </c>
      <c r="Y29" s="93">
        <v>43643</v>
      </c>
      <c r="Z29" s="79" t="s">
        <v>432</v>
      </c>
      <c r="AA29" s="93">
        <v>43671</v>
      </c>
      <c r="AB29" s="79" t="s">
        <v>439</v>
      </c>
      <c r="AC29" s="93">
        <v>43700</v>
      </c>
      <c r="AD29" s="79" t="s">
        <v>448</v>
      </c>
      <c r="AE29" s="93">
        <v>43733</v>
      </c>
      <c r="AF29" s="79" t="s">
        <v>452</v>
      </c>
      <c r="AG29" s="93">
        <v>43763</v>
      </c>
      <c r="AH29" s="79" t="s">
        <v>466</v>
      </c>
      <c r="AI29" s="93">
        <v>43794</v>
      </c>
      <c r="AJ29" s="79" t="s">
        <v>487</v>
      </c>
      <c r="AK29" s="94">
        <v>43825</v>
      </c>
      <c r="AL29" s="79" t="s">
        <v>492</v>
      </c>
      <c r="AM29" s="27"/>
      <c r="AN29" s="27"/>
    </row>
    <row r="30" spans="1:40" ht="33" customHeight="1" x14ac:dyDescent="0.3">
      <c r="A30" s="3"/>
      <c r="B30" s="8" t="s">
        <v>17</v>
      </c>
      <c r="C30" s="8" t="s">
        <v>94</v>
      </c>
      <c r="D30" s="28" t="s">
        <v>70</v>
      </c>
      <c r="E30" s="3" t="s">
        <v>66</v>
      </c>
      <c r="F30" s="3" t="s">
        <v>67</v>
      </c>
      <c r="G30" s="152">
        <v>5</v>
      </c>
      <c r="H30" s="20">
        <v>43004</v>
      </c>
      <c r="I30" s="30">
        <v>43733</v>
      </c>
      <c r="J30" s="21" t="s">
        <v>68</v>
      </c>
      <c r="K30" s="5">
        <v>250000</v>
      </c>
      <c r="L30" s="5">
        <f t="shared" si="0"/>
        <v>25000</v>
      </c>
      <c r="M30" s="7">
        <f t="shared" si="1"/>
        <v>275000</v>
      </c>
      <c r="N30" s="22">
        <v>25</v>
      </c>
      <c r="O30" s="58" t="s">
        <v>352</v>
      </c>
      <c r="P30" s="59" t="s">
        <v>353</v>
      </c>
      <c r="Q30" s="58" t="s">
        <v>377</v>
      </c>
      <c r="R30" s="58" t="s">
        <v>378</v>
      </c>
      <c r="S30" s="93">
        <v>43551</v>
      </c>
      <c r="T30" s="79" t="s">
        <v>363</v>
      </c>
      <c r="U30" s="93">
        <v>43584</v>
      </c>
      <c r="V30" s="79" t="s">
        <v>391</v>
      </c>
      <c r="W30" s="93">
        <v>43614</v>
      </c>
      <c r="X30" s="79" t="s">
        <v>428</v>
      </c>
      <c r="Y30" s="93">
        <v>43643</v>
      </c>
      <c r="Z30" s="79" t="s">
        <v>432</v>
      </c>
      <c r="AA30" s="93">
        <v>43675</v>
      </c>
      <c r="AB30" s="79" t="s">
        <v>439</v>
      </c>
      <c r="AC30" s="93">
        <v>43705</v>
      </c>
      <c r="AD30" s="79" t="s">
        <v>448</v>
      </c>
      <c r="AE30" s="93">
        <v>43735</v>
      </c>
      <c r="AF30" s="79" t="s">
        <v>452</v>
      </c>
      <c r="AG30" s="93">
        <v>43766</v>
      </c>
      <c r="AH30" s="79" t="s">
        <v>466</v>
      </c>
      <c r="AI30" s="93">
        <v>43796</v>
      </c>
      <c r="AJ30" s="79" t="s">
        <v>487</v>
      </c>
      <c r="AK30" s="93">
        <v>43829</v>
      </c>
      <c r="AL30" s="79" t="s">
        <v>492</v>
      </c>
      <c r="AM30" s="27"/>
      <c r="AN30" s="27"/>
    </row>
    <row r="31" spans="1:40" ht="33" customHeight="1" x14ac:dyDescent="0.3">
      <c r="A31" s="3"/>
      <c r="B31" s="8" t="s">
        <v>37</v>
      </c>
      <c r="C31" s="8" t="s">
        <v>96</v>
      </c>
      <c r="D31" s="86" t="s">
        <v>374</v>
      </c>
      <c r="E31" s="3">
        <v>26</v>
      </c>
      <c r="F31" s="3">
        <v>25</v>
      </c>
      <c r="G31" s="152">
        <v>25</v>
      </c>
      <c r="H31" s="20">
        <v>42522</v>
      </c>
      <c r="I31" s="20">
        <v>42886</v>
      </c>
      <c r="J31" s="21" t="s">
        <v>68</v>
      </c>
      <c r="K31" s="5">
        <v>50000</v>
      </c>
      <c r="L31" s="5">
        <f t="shared" si="0"/>
        <v>5000</v>
      </c>
      <c r="M31" s="7">
        <f t="shared" si="1"/>
        <v>55000</v>
      </c>
      <c r="N31" s="22">
        <v>25</v>
      </c>
      <c r="O31" s="58" t="s">
        <v>351</v>
      </c>
      <c r="P31" s="59" t="s">
        <v>353</v>
      </c>
      <c r="Q31" s="58" t="s">
        <v>375</v>
      </c>
      <c r="R31" s="59" t="s">
        <v>375</v>
      </c>
      <c r="S31" s="98">
        <v>43578</v>
      </c>
      <c r="T31" s="79" t="s">
        <v>363</v>
      </c>
      <c r="U31" s="93">
        <v>43578</v>
      </c>
      <c r="V31" s="79" t="s">
        <v>391</v>
      </c>
      <c r="W31" s="93">
        <v>43610</v>
      </c>
      <c r="X31" s="79" t="s">
        <v>428</v>
      </c>
      <c r="Y31" s="94">
        <v>43641</v>
      </c>
      <c r="Z31" s="79" t="s">
        <v>432</v>
      </c>
      <c r="AA31" s="93">
        <v>43671</v>
      </c>
      <c r="AB31" s="79" t="s">
        <v>439</v>
      </c>
      <c r="AC31" s="93">
        <v>43709</v>
      </c>
      <c r="AD31" s="79" t="s">
        <v>448</v>
      </c>
      <c r="AE31" s="93">
        <v>43738</v>
      </c>
      <c r="AF31" s="79" t="s">
        <v>452</v>
      </c>
      <c r="AG31" s="93">
        <v>43762</v>
      </c>
      <c r="AH31" s="79" t="s">
        <v>466</v>
      </c>
      <c r="AI31" s="93">
        <v>43800</v>
      </c>
      <c r="AJ31" s="79" t="s">
        <v>487</v>
      </c>
      <c r="AK31" s="93">
        <v>43824</v>
      </c>
      <c r="AL31" s="79" t="s">
        <v>492</v>
      </c>
      <c r="AM31" s="27"/>
      <c r="AN31" s="27"/>
    </row>
    <row r="32" spans="1:40" ht="33" customHeight="1" x14ac:dyDescent="0.3">
      <c r="A32" s="3"/>
      <c r="B32" s="33" t="s">
        <v>38</v>
      </c>
      <c r="C32" s="8" t="s">
        <v>97</v>
      </c>
      <c r="D32" s="86" t="s">
        <v>374</v>
      </c>
      <c r="E32" s="3" t="s">
        <v>66</v>
      </c>
      <c r="F32" s="3" t="s">
        <v>67</v>
      </c>
      <c r="G32" s="152">
        <v>25</v>
      </c>
      <c r="H32" s="20"/>
      <c r="I32" s="20"/>
      <c r="J32" s="21" t="s">
        <v>68</v>
      </c>
      <c r="K32" s="5">
        <v>100000</v>
      </c>
      <c r="L32" s="5">
        <f t="shared" si="0"/>
        <v>10000</v>
      </c>
      <c r="M32" s="7">
        <f t="shared" si="1"/>
        <v>110000</v>
      </c>
      <c r="N32" s="22">
        <v>25</v>
      </c>
      <c r="O32" s="58" t="s">
        <v>350</v>
      </c>
      <c r="P32" s="59" t="s">
        <v>349</v>
      </c>
      <c r="Q32" s="58" t="s">
        <v>376</v>
      </c>
      <c r="R32" s="59" t="s">
        <v>379</v>
      </c>
      <c r="S32" s="93">
        <v>43551</v>
      </c>
      <c r="T32" s="79" t="s">
        <v>363</v>
      </c>
      <c r="U32" s="93">
        <v>43579</v>
      </c>
      <c r="V32" s="79" t="s">
        <v>391</v>
      </c>
      <c r="W32" s="93">
        <v>43609</v>
      </c>
      <c r="X32" s="79" t="s">
        <v>428</v>
      </c>
      <c r="Y32" s="93">
        <v>43640</v>
      </c>
      <c r="Z32" s="79" t="s">
        <v>432</v>
      </c>
      <c r="AA32" s="93">
        <v>43669</v>
      </c>
      <c r="AB32" s="79" t="s">
        <v>439</v>
      </c>
      <c r="AC32" s="93">
        <v>43705</v>
      </c>
      <c r="AD32" s="79" t="s">
        <v>448</v>
      </c>
      <c r="AE32" s="93">
        <v>43732</v>
      </c>
      <c r="AF32" s="79" t="s">
        <v>452</v>
      </c>
      <c r="AG32" s="93">
        <v>43763</v>
      </c>
      <c r="AH32" s="79" t="s">
        <v>466</v>
      </c>
      <c r="AI32" s="93">
        <v>43791</v>
      </c>
      <c r="AJ32" s="79" t="s">
        <v>487</v>
      </c>
      <c r="AK32" s="93">
        <v>43822</v>
      </c>
      <c r="AL32" s="79" t="s">
        <v>492</v>
      </c>
      <c r="AM32" s="27"/>
      <c r="AN32" s="27"/>
    </row>
    <row r="33" spans="1:40" ht="33" customHeight="1" x14ac:dyDescent="0.3">
      <c r="A33" s="3"/>
      <c r="B33" s="8" t="s">
        <v>43</v>
      </c>
      <c r="C33" s="34" t="s">
        <v>98</v>
      </c>
      <c r="D33" s="28" t="s">
        <v>70</v>
      </c>
      <c r="E33" s="3" t="s">
        <v>66</v>
      </c>
      <c r="F33" s="3" t="s">
        <v>67</v>
      </c>
      <c r="G33" s="152">
        <v>31</v>
      </c>
      <c r="H33" s="20">
        <v>42913</v>
      </c>
      <c r="I33" s="20">
        <v>43277</v>
      </c>
      <c r="J33" s="21" t="s">
        <v>68</v>
      </c>
      <c r="K33" s="5">
        <v>100000</v>
      </c>
      <c r="L33" s="5">
        <f t="shared" si="0"/>
        <v>10000</v>
      </c>
      <c r="M33" s="7">
        <f t="shared" si="1"/>
        <v>110000</v>
      </c>
      <c r="N33" s="22">
        <v>25</v>
      </c>
      <c r="O33" s="58" t="s">
        <v>353</v>
      </c>
      <c r="P33" s="59" t="s">
        <v>351</v>
      </c>
      <c r="Q33" s="97" t="s">
        <v>385</v>
      </c>
      <c r="R33" s="59" t="s">
        <v>386</v>
      </c>
      <c r="S33" s="93">
        <v>43551</v>
      </c>
      <c r="T33" s="79" t="s">
        <v>363</v>
      </c>
      <c r="U33" s="98">
        <v>43587</v>
      </c>
      <c r="V33" s="79" t="s">
        <v>391</v>
      </c>
      <c r="W33" s="93">
        <v>43614</v>
      </c>
      <c r="X33" s="79" t="s">
        <v>428</v>
      </c>
      <c r="Y33" s="93">
        <v>43643</v>
      </c>
      <c r="Z33" s="79" t="s">
        <v>432</v>
      </c>
      <c r="AA33" s="98">
        <v>43679</v>
      </c>
      <c r="AB33" s="79" t="s">
        <v>439</v>
      </c>
      <c r="AC33" s="93">
        <v>43705</v>
      </c>
      <c r="AD33" s="79" t="s">
        <v>448</v>
      </c>
      <c r="AE33" s="98">
        <v>43740</v>
      </c>
      <c r="AF33" s="79" t="s">
        <v>452</v>
      </c>
      <c r="AG33" s="93">
        <v>43766</v>
      </c>
      <c r="AH33" s="79" t="s">
        <v>466</v>
      </c>
      <c r="AI33" s="93">
        <v>43796</v>
      </c>
      <c r="AJ33" s="79" t="s">
        <v>487</v>
      </c>
      <c r="AK33" s="98">
        <v>43846</v>
      </c>
      <c r="AL33" s="79" t="s">
        <v>492</v>
      </c>
      <c r="AM33" s="27"/>
      <c r="AN33" s="27"/>
    </row>
    <row r="34" spans="1:40" ht="33" customHeight="1" x14ac:dyDescent="0.3">
      <c r="A34" s="3"/>
      <c r="B34" s="8" t="s">
        <v>9</v>
      </c>
      <c r="C34" s="8"/>
      <c r="D34" s="86" t="s">
        <v>374</v>
      </c>
      <c r="E34" s="3"/>
      <c r="F34" s="3"/>
      <c r="G34" s="152"/>
      <c r="H34" s="20">
        <v>42583</v>
      </c>
      <c r="I34" s="20">
        <v>43312</v>
      </c>
      <c r="J34" s="21" t="s">
        <v>68</v>
      </c>
      <c r="K34" s="5">
        <v>100000</v>
      </c>
      <c r="L34" s="35"/>
      <c r="M34" s="7">
        <f t="shared" si="1"/>
        <v>100000</v>
      </c>
      <c r="N34" s="22">
        <v>25</v>
      </c>
      <c r="O34" s="58" t="s">
        <v>353</v>
      </c>
      <c r="P34" s="59"/>
      <c r="Q34" s="101" t="s">
        <v>380</v>
      </c>
      <c r="R34" s="76"/>
      <c r="S34" s="95"/>
      <c r="T34" s="102"/>
      <c r="U34" s="95"/>
      <c r="V34" s="102"/>
      <c r="W34" s="95"/>
      <c r="X34" s="102"/>
      <c r="Y34" s="95"/>
      <c r="Z34" s="102"/>
      <c r="AA34" s="95"/>
      <c r="AB34" s="102"/>
      <c r="AC34" s="95"/>
      <c r="AD34" s="102"/>
      <c r="AE34" s="95"/>
      <c r="AF34" s="102"/>
      <c r="AG34" s="95"/>
      <c r="AH34" s="102"/>
      <c r="AI34" s="95"/>
      <c r="AJ34" s="102"/>
      <c r="AK34" s="95"/>
      <c r="AL34" s="102"/>
      <c r="AM34" s="27"/>
      <c r="AN34" s="27"/>
    </row>
    <row r="35" spans="1:40" ht="33" customHeight="1" x14ac:dyDescent="0.3">
      <c r="A35" s="3"/>
      <c r="B35" s="8" t="s">
        <v>10</v>
      </c>
      <c r="C35" s="8" t="s">
        <v>99</v>
      </c>
      <c r="D35" s="86" t="s">
        <v>374</v>
      </c>
      <c r="E35" s="3"/>
      <c r="F35" s="3"/>
      <c r="G35" s="152"/>
      <c r="H35" s="20">
        <v>42644</v>
      </c>
      <c r="I35" s="20">
        <v>43100</v>
      </c>
      <c r="J35" s="21" t="s">
        <v>68</v>
      </c>
      <c r="K35" s="5">
        <v>120000</v>
      </c>
      <c r="L35" s="5">
        <f t="shared" ref="L35:L47" si="3">ROUNDDOWN(K35*10%,1)</f>
        <v>12000</v>
      </c>
      <c r="M35" s="7">
        <f t="shared" si="1"/>
        <v>132000</v>
      </c>
      <c r="N35" s="22">
        <v>25</v>
      </c>
      <c r="O35" s="58" t="s">
        <v>356</v>
      </c>
      <c r="P35" s="59" t="s">
        <v>349</v>
      </c>
      <c r="Q35" s="58" t="s">
        <v>357</v>
      </c>
      <c r="R35" s="24"/>
      <c r="S35" s="93">
        <v>43553</v>
      </c>
      <c r="T35" s="79" t="s">
        <v>363</v>
      </c>
      <c r="U35" s="93">
        <v>43585</v>
      </c>
      <c r="V35" s="79" t="s">
        <v>391</v>
      </c>
      <c r="W35" s="93">
        <v>43616</v>
      </c>
      <c r="X35" s="79" t="s">
        <v>428</v>
      </c>
      <c r="Y35" s="93">
        <v>43644</v>
      </c>
      <c r="Z35" s="79" t="s">
        <v>432</v>
      </c>
      <c r="AA35" s="93">
        <v>43677</v>
      </c>
      <c r="AB35" s="79" t="s">
        <v>439</v>
      </c>
      <c r="AC35" s="93">
        <v>43707</v>
      </c>
      <c r="AD35" s="79" t="s">
        <v>448</v>
      </c>
      <c r="AE35" s="93">
        <v>43738</v>
      </c>
      <c r="AF35" s="79" t="s">
        <v>452</v>
      </c>
      <c r="AG35" s="94" t="s">
        <v>467</v>
      </c>
      <c r="AH35" s="79" t="s">
        <v>466</v>
      </c>
      <c r="AI35" s="93">
        <v>43798</v>
      </c>
      <c r="AJ35" s="79" t="s">
        <v>487</v>
      </c>
      <c r="AK35" s="190">
        <v>43830</v>
      </c>
      <c r="AL35" s="79" t="s">
        <v>492</v>
      </c>
      <c r="AM35" s="27"/>
      <c r="AN35" s="27"/>
    </row>
    <row r="36" spans="1:40" ht="33" customHeight="1" x14ac:dyDescent="0.3">
      <c r="A36" s="3"/>
      <c r="B36" s="60" t="s">
        <v>337</v>
      </c>
      <c r="C36" s="60" t="s">
        <v>338</v>
      </c>
      <c r="D36" s="62" t="s">
        <v>333</v>
      </c>
      <c r="E36" s="3">
        <v>26</v>
      </c>
      <c r="F36" s="3">
        <v>25</v>
      </c>
      <c r="G36" s="154">
        <v>25</v>
      </c>
      <c r="H36" s="65">
        <v>43491</v>
      </c>
      <c r="I36" s="65">
        <v>43855</v>
      </c>
      <c r="J36" s="67" t="s">
        <v>336</v>
      </c>
      <c r="K36" s="69">
        <v>120000</v>
      </c>
      <c r="L36" s="69">
        <f t="shared" si="3"/>
        <v>12000</v>
      </c>
      <c r="M36" s="71">
        <f t="shared" si="1"/>
        <v>132000</v>
      </c>
      <c r="N36" s="22">
        <v>25</v>
      </c>
      <c r="O36" s="23"/>
      <c r="P36" s="24"/>
      <c r="Q36" s="58" t="s">
        <v>377</v>
      </c>
      <c r="R36" s="59" t="s">
        <v>378</v>
      </c>
      <c r="S36" s="93">
        <v>43551</v>
      </c>
      <c r="T36" s="79" t="s">
        <v>363</v>
      </c>
      <c r="U36" s="93">
        <v>43584</v>
      </c>
      <c r="V36" s="79" t="s">
        <v>391</v>
      </c>
      <c r="W36" s="93">
        <v>43614</v>
      </c>
      <c r="X36" s="79" t="s">
        <v>428</v>
      </c>
      <c r="Y36" s="93">
        <v>43643</v>
      </c>
      <c r="Z36" s="79" t="s">
        <v>432</v>
      </c>
      <c r="AA36" s="93">
        <v>43675</v>
      </c>
      <c r="AB36" s="79" t="s">
        <v>439</v>
      </c>
      <c r="AC36" s="93">
        <v>43705</v>
      </c>
      <c r="AD36" s="79" t="s">
        <v>448</v>
      </c>
      <c r="AE36" s="93">
        <v>43735</v>
      </c>
      <c r="AF36" s="79" t="s">
        <v>452</v>
      </c>
      <c r="AG36" s="93">
        <v>43766</v>
      </c>
      <c r="AH36" s="79" t="s">
        <v>466</v>
      </c>
      <c r="AI36" s="93">
        <v>43796</v>
      </c>
      <c r="AJ36" s="79" t="s">
        <v>487</v>
      </c>
      <c r="AK36" s="93">
        <v>43829</v>
      </c>
      <c r="AL36" s="79" t="s">
        <v>492</v>
      </c>
      <c r="AM36" s="27"/>
      <c r="AN36" s="27"/>
    </row>
    <row r="37" spans="1:40" ht="33" customHeight="1" x14ac:dyDescent="0.3">
      <c r="A37" s="3"/>
      <c r="B37" s="8" t="s">
        <v>18</v>
      </c>
      <c r="C37" s="8" t="s">
        <v>100</v>
      </c>
      <c r="D37" s="28" t="s">
        <v>70</v>
      </c>
      <c r="E37" s="3" t="s">
        <v>66</v>
      </c>
      <c r="F37" s="3" t="s">
        <v>67</v>
      </c>
      <c r="G37" s="152">
        <v>5</v>
      </c>
      <c r="H37" s="20">
        <v>42819</v>
      </c>
      <c r="I37" s="20">
        <v>43183</v>
      </c>
      <c r="J37" s="158" t="s">
        <v>444</v>
      </c>
      <c r="K37" s="5"/>
      <c r="L37" s="5"/>
      <c r="M37" s="7">
        <f t="shared" si="1"/>
        <v>0</v>
      </c>
      <c r="N37" s="22">
        <v>30</v>
      </c>
      <c r="O37" s="23"/>
      <c r="P37" s="24"/>
      <c r="Q37" s="58" t="s">
        <v>382</v>
      </c>
      <c r="R37" s="59" t="s">
        <v>383</v>
      </c>
      <c r="S37" s="93">
        <v>43558</v>
      </c>
      <c r="T37" s="79" t="s">
        <v>363</v>
      </c>
      <c r="U37" s="93">
        <v>43587</v>
      </c>
      <c r="V37" s="79" t="s">
        <v>391</v>
      </c>
      <c r="W37" s="93">
        <v>43619</v>
      </c>
      <c r="X37" s="79" t="s">
        <v>428</v>
      </c>
      <c r="Y37" s="93">
        <v>43649</v>
      </c>
      <c r="Z37" s="79" t="s">
        <v>432</v>
      </c>
      <c r="AA37" s="93">
        <v>43678</v>
      </c>
      <c r="AB37" s="79" t="s">
        <v>439</v>
      </c>
      <c r="AC37" s="95"/>
      <c r="AD37" s="102"/>
      <c r="AE37" s="95"/>
      <c r="AF37" s="102"/>
      <c r="AG37" s="95"/>
      <c r="AH37" s="102"/>
      <c r="AI37" s="95"/>
      <c r="AJ37" s="102"/>
      <c r="AK37" s="95"/>
      <c r="AL37" s="102"/>
      <c r="AM37" s="27"/>
      <c r="AN37" s="27"/>
    </row>
    <row r="38" spans="1:40" ht="33" customHeight="1" x14ac:dyDescent="0.3">
      <c r="A38" s="3"/>
      <c r="B38" s="3" t="s">
        <v>44</v>
      </c>
      <c r="C38" s="3" t="s">
        <v>101</v>
      </c>
      <c r="D38" s="28" t="s">
        <v>70</v>
      </c>
      <c r="E38" s="3" t="s">
        <v>66</v>
      </c>
      <c r="F38" s="3" t="s">
        <v>67</v>
      </c>
      <c r="G38" s="152">
        <v>31</v>
      </c>
      <c r="H38" s="20">
        <v>43070</v>
      </c>
      <c r="I38" s="20">
        <v>43465</v>
      </c>
      <c r="J38" s="21" t="s">
        <v>68</v>
      </c>
      <c r="K38" s="5">
        <v>100000</v>
      </c>
      <c r="L38" s="5">
        <f t="shared" si="3"/>
        <v>10000</v>
      </c>
      <c r="M38" s="7">
        <f t="shared" si="1"/>
        <v>110000</v>
      </c>
      <c r="N38" s="22">
        <v>30</v>
      </c>
      <c r="O38" s="23"/>
      <c r="P38" s="24"/>
      <c r="Q38" s="58" t="s">
        <v>382</v>
      </c>
      <c r="R38" s="59" t="s">
        <v>383</v>
      </c>
      <c r="S38" s="93">
        <v>43558</v>
      </c>
      <c r="T38" s="79" t="s">
        <v>363</v>
      </c>
      <c r="U38" s="93">
        <v>43587</v>
      </c>
      <c r="V38" s="79" t="s">
        <v>391</v>
      </c>
      <c r="W38" s="93">
        <v>43619</v>
      </c>
      <c r="X38" s="79" t="s">
        <v>428</v>
      </c>
      <c r="Y38" s="93">
        <v>43649</v>
      </c>
      <c r="Z38" s="79" t="s">
        <v>432</v>
      </c>
      <c r="AA38" s="93">
        <v>43678</v>
      </c>
      <c r="AB38" s="79" t="s">
        <v>439</v>
      </c>
      <c r="AC38" s="94">
        <v>43710</v>
      </c>
      <c r="AD38" s="79" t="s">
        <v>448</v>
      </c>
      <c r="AE38" s="93">
        <v>43740</v>
      </c>
      <c r="AF38" s="79" t="s">
        <v>452</v>
      </c>
      <c r="AG38" s="93">
        <v>43770</v>
      </c>
      <c r="AH38" s="79" t="s">
        <v>466</v>
      </c>
      <c r="AI38" s="93">
        <v>43803</v>
      </c>
      <c r="AJ38" s="79" t="s">
        <v>487</v>
      </c>
      <c r="AK38" s="93">
        <v>43832</v>
      </c>
      <c r="AL38" s="79" t="s">
        <v>492</v>
      </c>
      <c r="AM38" s="27"/>
      <c r="AN38" s="27"/>
    </row>
    <row r="39" spans="1:40" ht="33" customHeight="1" x14ac:dyDescent="0.3">
      <c r="A39" s="3"/>
      <c r="B39" s="8" t="s">
        <v>442</v>
      </c>
      <c r="C39" s="8" t="s">
        <v>443</v>
      </c>
      <c r="D39" s="28" t="s">
        <v>70</v>
      </c>
      <c r="E39" s="3"/>
      <c r="F39" s="3"/>
      <c r="G39" s="152"/>
      <c r="H39" s="29">
        <v>43678</v>
      </c>
      <c r="I39" s="29">
        <v>44043</v>
      </c>
      <c r="J39" s="21" t="s">
        <v>68</v>
      </c>
      <c r="K39" s="5">
        <v>70000</v>
      </c>
      <c r="L39" s="5">
        <f t="shared" si="3"/>
        <v>7000</v>
      </c>
      <c r="M39" s="7">
        <f t="shared" si="1"/>
        <v>77000</v>
      </c>
      <c r="N39" s="22">
        <v>30</v>
      </c>
      <c r="O39" s="75"/>
      <c r="P39" s="76"/>
      <c r="Q39" s="75"/>
      <c r="R39" s="76"/>
      <c r="S39" s="75"/>
      <c r="T39" s="76"/>
      <c r="U39" s="75"/>
      <c r="V39" s="76"/>
      <c r="W39" s="93"/>
      <c r="X39" s="79"/>
      <c r="Y39" s="93"/>
      <c r="Z39" s="79"/>
      <c r="AA39" s="95"/>
      <c r="AB39" s="102"/>
      <c r="AC39" s="94">
        <v>43710</v>
      </c>
      <c r="AD39" s="79" t="s">
        <v>448</v>
      </c>
      <c r="AE39" s="93">
        <v>43740</v>
      </c>
      <c r="AF39" s="79" t="s">
        <v>452</v>
      </c>
      <c r="AG39" s="93">
        <v>43770</v>
      </c>
      <c r="AH39" s="79" t="s">
        <v>466</v>
      </c>
      <c r="AI39" s="93">
        <v>43803</v>
      </c>
      <c r="AJ39" s="79" t="s">
        <v>487</v>
      </c>
      <c r="AK39" s="98">
        <v>43846</v>
      </c>
      <c r="AL39" s="79" t="s">
        <v>492</v>
      </c>
      <c r="AM39" s="27"/>
      <c r="AN39" s="27"/>
    </row>
    <row r="40" spans="1:40" ht="33" customHeight="1" x14ac:dyDescent="0.3">
      <c r="A40" s="3"/>
      <c r="B40" s="8" t="s">
        <v>19</v>
      </c>
      <c r="C40" s="8" t="s">
        <v>102</v>
      </c>
      <c r="D40" s="86" t="s">
        <v>374</v>
      </c>
      <c r="E40" s="3" t="s">
        <v>66</v>
      </c>
      <c r="F40" s="3" t="s">
        <v>67</v>
      </c>
      <c r="G40" s="152">
        <v>5</v>
      </c>
      <c r="H40" s="20">
        <v>42675</v>
      </c>
      <c r="I40" s="30">
        <v>43404</v>
      </c>
      <c r="J40" s="21" t="s">
        <v>68</v>
      </c>
      <c r="K40" s="140">
        <v>150000</v>
      </c>
      <c r="L40" s="140">
        <f t="shared" si="3"/>
        <v>15000</v>
      </c>
      <c r="M40" s="7">
        <f t="shared" si="1"/>
        <v>165000</v>
      </c>
      <c r="N40" s="22">
        <v>31</v>
      </c>
      <c r="O40" s="58" t="s">
        <v>356</v>
      </c>
      <c r="P40" s="24"/>
      <c r="Q40" s="58" t="s">
        <v>381</v>
      </c>
      <c r="R40" s="59" t="s">
        <v>381</v>
      </c>
      <c r="S40" s="93">
        <v>43554</v>
      </c>
      <c r="T40" s="79" t="s">
        <v>363</v>
      </c>
      <c r="U40" s="93">
        <v>43585</v>
      </c>
      <c r="V40" s="79" t="s">
        <v>391</v>
      </c>
      <c r="W40" s="93">
        <v>43616</v>
      </c>
      <c r="X40" s="79" t="s">
        <v>428</v>
      </c>
      <c r="Y40" s="93">
        <v>43645</v>
      </c>
      <c r="Z40" s="79" t="s">
        <v>432</v>
      </c>
      <c r="AA40" s="93">
        <v>43677</v>
      </c>
      <c r="AB40" s="79" t="s">
        <v>439</v>
      </c>
      <c r="AC40" s="93">
        <v>43707</v>
      </c>
      <c r="AD40" s="79" t="s">
        <v>448</v>
      </c>
      <c r="AE40" s="93">
        <v>43738</v>
      </c>
      <c r="AF40" s="79" t="s">
        <v>452</v>
      </c>
      <c r="AG40" s="94" t="s">
        <v>467</v>
      </c>
      <c r="AH40" s="79" t="s">
        <v>466</v>
      </c>
      <c r="AI40" s="139">
        <v>43799</v>
      </c>
      <c r="AJ40" s="159" t="s">
        <v>486</v>
      </c>
      <c r="AK40" s="93">
        <v>43830</v>
      </c>
      <c r="AL40" s="79" t="s">
        <v>492</v>
      </c>
      <c r="AM40" s="27"/>
      <c r="AN40" s="27"/>
    </row>
    <row r="41" spans="1:40" ht="33" customHeight="1" x14ac:dyDescent="0.3">
      <c r="A41" s="3"/>
      <c r="B41" s="61" t="s">
        <v>21</v>
      </c>
      <c r="C41" s="61" t="s">
        <v>103</v>
      </c>
      <c r="D41" s="63" t="s">
        <v>70</v>
      </c>
      <c r="E41" s="64" t="s">
        <v>66</v>
      </c>
      <c r="F41" s="64" t="s">
        <v>67</v>
      </c>
      <c r="G41" s="155">
        <v>7</v>
      </c>
      <c r="H41" s="66">
        <v>43160</v>
      </c>
      <c r="I41" s="66">
        <v>43524</v>
      </c>
      <c r="J41" s="68" t="s">
        <v>68</v>
      </c>
      <c r="K41" s="70">
        <v>100000</v>
      </c>
      <c r="L41" s="70">
        <f t="shared" si="3"/>
        <v>10000</v>
      </c>
      <c r="M41" s="7">
        <f t="shared" si="1"/>
        <v>110000</v>
      </c>
      <c r="N41" s="73">
        <v>31</v>
      </c>
      <c r="O41" s="23"/>
      <c r="P41" s="24"/>
      <c r="Q41" s="58" t="s">
        <v>382</v>
      </c>
      <c r="R41" s="59" t="s">
        <v>383</v>
      </c>
      <c r="S41" s="93">
        <v>43558</v>
      </c>
      <c r="T41" s="79" t="s">
        <v>363</v>
      </c>
      <c r="U41" s="93">
        <v>43587</v>
      </c>
      <c r="V41" s="79" t="s">
        <v>391</v>
      </c>
      <c r="W41" s="93">
        <v>43619</v>
      </c>
      <c r="X41" s="79" t="s">
        <v>428</v>
      </c>
      <c r="Y41" s="93">
        <v>43649</v>
      </c>
      <c r="Z41" s="79" t="s">
        <v>432</v>
      </c>
      <c r="AA41" s="93">
        <v>43679</v>
      </c>
      <c r="AB41" s="79" t="s">
        <v>439</v>
      </c>
      <c r="AC41" s="93">
        <v>43712</v>
      </c>
      <c r="AD41" s="79" t="s">
        <v>448</v>
      </c>
      <c r="AE41" s="93">
        <v>43740</v>
      </c>
      <c r="AF41" s="79" t="s">
        <v>452</v>
      </c>
      <c r="AG41" s="93">
        <v>43773</v>
      </c>
      <c r="AH41" s="79" t="s">
        <v>466</v>
      </c>
      <c r="AI41" s="93">
        <v>43803</v>
      </c>
      <c r="AJ41" s="79" t="s">
        <v>486</v>
      </c>
      <c r="AK41" s="93">
        <v>43832</v>
      </c>
      <c r="AL41" s="79" t="s">
        <v>492</v>
      </c>
      <c r="AM41" s="27"/>
      <c r="AN41" s="27"/>
    </row>
    <row r="42" spans="1:40" ht="33" customHeight="1" x14ac:dyDescent="0.3">
      <c r="A42" s="3"/>
      <c r="B42" s="61" t="s">
        <v>22</v>
      </c>
      <c r="C42" s="61" t="s">
        <v>104</v>
      </c>
      <c r="D42" s="63" t="s">
        <v>70</v>
      </c>
      <c r="E42" s="64" t="s">
        <v>66</v>
      </c>
      <c r="F42" s="64" t="s">
        <v>67</v>
      </c>
      <c r="G42" s="155">
        <v>7</v>
      </c>
      <c r="H42" s="66">
        <v>43160</v>
      </c>
      <c r="I42" s="66">
        <v>43524</v>
      </c>
      <c r="J42" s="68" t="s">
        <v>68</v>
      </c>
      <c r="K42" s="70">
        <v>80000</v>
      </c>
      <c r="L42" s="70">
        <f t="shared" si="3"/>
        <v>8000</v>
      </c>
      <c r="M42" s="72">
        <f t="shared" si="1"/>
        <v>88000</v>
      </c>
      <c r="N42" s="73">
        <v>31</v>
      </c>
      <c r="O42" s="23"/>
      <c r="P42" s="24"/>
      <c r="Q42" s="58" t="s">
        <v>382</v>
      </c>
      <c r="R42" s="59" t="s">
        <v>383</v>
      </c>
      <c r="S42" s="93">
        <v>43558</v>
      </c>
      <c r="T42" s="79" t="s">
        <v>363</v>
      </c>
      <c r="U42" s="93">
        <v>43587</v>
      </c>
      <c r="V42" s="79" t="s">
        <v>391</v>
      </c>
      <c r="W42" s="93">
        <v>43619</v>
      </c>
      <c r="X42" s="79" t="s">
        <v>428</v>
      </c>
      <c r="Y42" s="93">
        <v>43649</v>
      </c>
      <c r="Z42" s="79" t="s">
        <v>432</v>
      </c>
      <c r="AA42" s="93">
        <v>43679</v>
      </c>
      <c r="AB42" s="79" t="s">
        <v>439</v>
      </c>
      <c r="AC42" s="93">
        <v>43712</v>
      </c>
      <c r="AD42" s="79" t="s">
        <v>448</v>
      </c>
      <c r="AE42" s="93">
        <v>43740</v>
      </c>
      <c r="AF42" s="79" t="s">
        <v>452</v>
      </c>
      <c r="AG42" s="93">
        <v>43773</v>
      </c>
      <c r="AH42" s="79" t="s">
        <v>466</v>
      </c>
      <c r="AI42" s="93">
        <v>43803</v>
      </c>
      <c r="AJ42" s="79" t="s">
        <v>486</v>
      </c>
      <c r="AK42" s="93">
        <v>43832</v>
      </c>
      <c r="AL42" s="79" t="s">
        <v>492</v>
      </c>
      <c r="AM42" s="27"/>
      <c r="AN42" s="27"/>
    </row>
    <row r="43" spans="1:40" ht="33" customHeight="1" x14ac:dyDescent="0.3">
      <c r="A43" s="3"/>
      <c r="B43" s="8" t="s">
        <v>30</v>
      </c>
      <c r="C43" s="8" t="s">
        <v>105</v>
      </c>
      <c r="D43" s="63" t="s">
        <v>70</v>
      </c>
      <c r="E43" s="64" t="s">
        <v>66</v>
      </c>
      <c r="F43" s="64" t="s">
        <v>67</v>
      </c>
      <c r="G43" s="152">
        <v>10</v>
      </c>
      <c r="H43" s="20">
        <v>43180</v>
      </c>
      <c r="I43" s="20">
        <v>43544</v>
      </c>
      <c r="J43" s="68" t="s">
        <v>68</v>
      </c>
      <c r="K43" s="70">
        <v>100000</v>
      </c>
      <c r="L43" s="70">
        <f t="shared" si="3"/>
        <v>10000</v>
      </c>
      <c r="M43" s="72">
        <f t="shared" si="1"/>
        <v>110000</v>
      </c>
      <c r="N43" s="73">
        <v>31</v>
      </c>
      <c r="O43" s="23"/>
      <c r="P43" s="24"/>
      <c r="Q43" s="58" t="s">
        <v>382</v>
      </c>
      <c r="R43" s="59" t="s">
        <v>383</v>
      </c>
      <c r="S43" s="93">
        <v>43558</v>
      </c>
      <c r="T43" s="79" t="s">
        <v>363</v>
      </c>
      <c r="U43" s="93">
        <v>43587</v>
      </c>
      <c r="V43" s="79" t="s">
        <v>391</v>
      </c>
      <c r="W43" s="93">
        <v>43619</v>
      </c>
      <c r="X43" s="79" t="s">
        <v>428</v>
      </c>
      <c r="Y43" s="93">
        <v>43649</v>
      </c>
      <c r="Z43" s="79" t="s">
        <v>432</v>
      </c>
      <c r="AA43" s="93">
        <v>43679</v>
      </c>
      <c r="AB43" s="79" t="s">
        <v>439</v>
      </c>
      <c r="AC43" s="93">
        <v>43712</v>
      </c>
      <c r="AD43" s="79" t="s">
        <v>448</v>
      </c>
      <c r="AE43" s="93">
        <v>43740</v>
      </c>
      <c r="AF43" s="79" t="s">
        <v>452</v>
      </c>
      <c r="AG43" s="93">
        <v>43773</v>
      </c>
      <c r="AH43" s="79" t="s">
        <v>466</v>
      </c>
      <c r="AI43" s="93">
        <v>43803</v>
      </c>
      <c r="AJ43" s="79" t="s">
        <v>486</v>
      </c>
      <c r="AK43" s="93">
        <v>43832</v>
      </c>
      <c r="AL43" s="79" t="s">
        <v>492</v>
      </c>
      <c r="AM43" s="27"/>
      <c r="AN43" s="27"/>
    </row>
    <row r="44" spans="1:40" ht="33" customHeight="1" x14ac:dyDescent="0.3">
      <c r="A44" s="3"/>
      <c r="B44" s="8" t="s">
        <v>33</v>
      </c>
      <c r="C44" s="8" t="s">
        <v>106</v>
      </c>
      <c r="D44" s="63" t="s">
        <v>70</v>
      </c>
      <c r="E44" s="64" t="s">
        <v>66</v>
      </c>
      <c r="F44" s="64" t="s">
        <v>67</v>
      </c>
      <c r="G44" s="152">
        <v>11</v>
      </c>
      <c r="H44" s="20">
        <v>43132</v>
      </c>
      <c r="I44" s="20">
        <v>43312</v>
      </c>
      <c r="J44" s="68" t="s">
        <v>68</v>
      </c>
      <c r="K44" s="70">
        <v>300000</v>
      </c>
      <c r="L44" s="70">
        <f t="shared" si="3"/>
        <v>30000</v>
      </c>
      <c r="M44" s="72">
        <f t="shared" si="1"/>
        <v>330000</v>
      </c>
      <c r="N44" s="22">
        <v>31</v>
      </c>
      <c r="O44" s="23"/>
      <c r="P44" s="24"/>
      <c r="Q44" s="58" t="s">
        <v>382</v>
      </c>
      <c r="R44" s="59" t="s">
        <v>383</v>
      </c>
      <c r="S44" s="93">
        <v>43558</v>
      </c>
      <c r="T44" s="79" t="s">
        <v>363</v>
      </c>
      <c r="U44" s="93">
        <v>43587</v>
      </c>
      <c r="V44" s="79" t="s">
        <v>391</v>
      </c>
      <c r="W44" s="93">
        <v>43619</v>
      </c>
      <c r="X44" s="79" t="s">
        <v>428</v>
      </c>
      <c r="Y44" s="93">
        <v>43649</v>
      </c>
      <c r="Z44" s="79" t="s">
        <v>432</v>
      </c>
      <c r="AA44" s="93">
        <v>43679</v>
      </c>
      <c r="AB44" s="79" t="s">
        <v>439</v>
      </c>
      <c r="AC44" s="93">
        <v>43712</v>
      </c>
      <c r="AD44" s="79" t="s">
        <v>448</v>
      </c>
      <c r="AE44" s="93">
        <v>43740</v>
      </c>
      <c r="AF44" s="79" t="s">
        <v>452</v>
      </c>
      <c r="AG44" s="93">
        <v>43773</v>
      </c>
      <c r="AH44" s="79" t="s">
        <v>466</v>
      </c>
      <c r="AI44" s="93">
        <v>43803</v>
      </c>
      <c r="AJ44" s="79" t="s">
        <v>486</v>
      </c>
      <c r="AK44" s="93">
        <v>43832</v>
      </c>
      <c r="AL44" s="79" t="s">
        <v>492</v>
      </c>
      <c r="AM44" s="27"/>
      <c r="AN44" s="27"/>
    </row>
    <row r="45" spans="1:40" ht="33" customHeight="1" x14ac:dyDescent="0.3">
      <c r="A45" s="3"/>
      <c r="B45" s="8" t="s">
        <v>427</v>
      </c>
      <c r="C45" s="8" t="s">
        <v>107</v>
      </c>
      <c r="D45" s="63" t="s">
        <v>70</v>
      </c>
      <c r="E45" s="3" t="s">
        <v>66</v>
      </c>
      <c r="F45" s="3" t="s">
        <v>67</v>
      </c>
      <c r="G45" s="152">
        <v>31</v>
      </c>
      <c r="H45" s="20">
        <v>42917</v>
      </c>
      <c r="I45" s="30">
        <v>43281</v>
      </c>
      <c r="J45" s="68" t="s">
        <v>68</v>
      </c>
      <c r="K45" s="140">
        <v>150000</v>
      </c>
      <c r="L45" s="140">
        <f t="shared" si="3"/>
        <v>15000</v>
      </c>
      <c r="M45" s="7">
        <f t="shared" si="1"/>
        <v>165000</v>
      </c>
      <c r="N45" s="22">
        <v>31</v>
      </c>
      <c r="O45" s="23"/>
      <c r="P45" s="24"/>
      <c r="Q45" s="58" t="s">
        <v>382</v>
      </c>
      <c r="R45" s="59" t="s">
        <v>383</v>
      </c>
      <c r="S45" s="93">
        <v>43558</v>
      </c>
      <c r="T45" s="79" t="s">
        <v>363</v>
      </c>
      <c r="U45" s="93">
        <v>43587</v>
      </c>
      <c r="V45" s="79" t="s">
        <v>391</v>
      </c>
      <c r="W45" s="93">
        <v>43619</v>
      </c>
      <c r="X45" s="79" t="s">
        <v>428</v>
      </c>
      <c r="Y45" s="93">
        <v>43649</v>
      </c>
      <c r="Z45" s="79" t="s">
        <v>432</v>
      </c>
      <c r="AA45" s="139">
        <v>43679</v>
      </c>
      <c r="AB45" s="79" t="s">
        <v>439</v>
      </c>
      <c r="AC45" s="93">
        <v>43712</v>
      </c>
      <c r="AD45" s="79" t="s">
        <v>448</v>
      </c>
      <c r="AE45" s="93">
        <v>43740</v>
      </c>
      <c r="AF45" s="79" t="s">
        <v>452</v>
      </c>
      <c r="AG45" s="93">
        <v>43773</v>
      </c>
      <c r="AH45" s="79" t="s">
        <v>466</v>
      </c>
      <c r="AI45" s="93">
        <v>43803</v>
      </c>
      <c r="AJ45" s="79" t="s">
        <v>486</v>
      </c>
      <c r="AK45" s="93">
        <v>43832</v>
      </c>
      <c r="AL45" s="79" t="s">
        <v>492</v>
      </c>
      <c r="AM45" s="27"/>
      <c r="AN45" s="27"/>
    </row>
    <row r="46" spans="1:40" s="156" customFormat="1" ht="33" customHeight="1" x14ac:dyDescent="0.3">
      <c r="A46" s="3"/>
      <c r="B46" s="8" t="s">
        <v>398</v>
      </c>
      <c r="C46" s="8" t="s">
        <v>399</v>
      </c>
      <c r="D46" s="63" t="s">
        <v>70</v>
      </c>
      <c r="E46" s="3" t="s">
        <v>66</v>
      </c>
      <c r="F46" s="3" t="s">
        <v>67</v>
      </c>
      <c r="G46" s="152">
        <v>31</v>
      </c>
      <c r="H46" s="29">
        <v>43586</v>
      </c>
      <c r="I46" s="29">
        <v>43951</v>
      </c>
      <c r="J46" s="68" t="s">
        <v>68</v>
      </c>
      <c r="K46" s="5">
        <v>100000</v>
      </c>
      <c r="L46" s="5">
        <f t="shared" si="3"/>
        <v>10000</v>
      </c>
      <c r="M46" s="7">
        <f t="shared" si="1"/>
        <v>110000</v>
      </c>
      <c r="N46" s="22">
        <v>31</v>
      </c>
      <c r="O46" s="75"/>
      <c r="P46" s="76"/>
      <c r="Q46" s="75"/>
      <c r="R46" s="76"/>
      <c r="S46" s="75"/>
      <c r="T46" s="76"/>
      <c r="U46" s="75"/>
      <c r="V46" s="76"/>
      <c r="W46" s="93">
        <v>43619</v>
      </c>
      <c r="X46" s="79" t="s">
        <v>428</v>
      </c>
      <c r="Y46" s="93">
        <v>43649</v>
      </c>
      <c r="Z46" s="79" t="s">
        <v>432</v>
      </c>
      <c r="AA46" s="93">
        <v>43679</v>
      </c>
      <c r="AB46" s="79" t="s">
        <v>439</v>
      </c>
      <c r="AC46" s="93">
        <v>43712</v>
      </c>
      <c r="AD46" s="79" t="s">
        <v>448</v>
      </c>
      <c r="AE46" s="93">
        <v>43740</v>
      </c>
      <c r="AF46" s="79" t="s">
        <v>452</v>
      </c>
      <c r="AG46" s="93">
        <v>43773</v>
      </c>
      <c r="AH46" s="79" t="s">
        <v>466</v>
      </c>
      <c r="AI46" s="93">
        <v>43803</v>
      </c>
      <c r="AJ46" s="79" t="s">
        <v>486</v>
      </c>
      <c r="AK46" s="93">
        <v>43832</v>
      </c>
      <c r="AL46" s="79" t="s">
        <v>492</v>
      </c>
      <c r="AM46" s="27"/>
      <c r="AN46" s="27"/>
    </row>
    <row r="47" spans="1:40" ht="33" customHeight="1" x14ac:dyDescent="0.3">
      <c r="A47" s="3"/>
      <c r="B47" s="8" t="s">
        <v>404</v>
      </c>
      <c r="C47" s="8" t="s">
        <v>403</v>
      </c>
      <c r="D47" s="63" t="s">
        <v>70</v>
      </c>
      <c r="E47" s="3"/>
      <c r="F47" s="3"/>
      <c r="G47" s="152"/>
      <c r="H47" s="29">
        <v>43586</v>
      </c>
      <c r="I47" s="29">
        <v>43951</v>
      </c>
      <c r="J47" s="68" t="s">
        <v>68</v>
      </c>
      <c r="K47" s="5">
        <v>200000</v>
      </c>
      <c r="L47" s="5">
        <f t="shared" si="3"/>
        <v>20000</v>
      </c>
      <c r="M47" s="7">
        <f t="shared" si="1"/>
        <v>220000</v>
      </c>
      <c r="N47" s="22">
        <v>31</v>
      </c>
      <c r="O47" s="75"/>
      <c r="P47" s="76"/>
      <c r="Q47" s="75"/>
      <c r="R47" s="76"/>
      <c r="S47" s="75"/>
      <c r="T47" s="76"/>
      <c r="U47" s="75"/>
      <c r="V47" s="76"/>
      <c r="W47" s="93">
        <v>43619</v>
      </c>
      <c r="X47" s="79" t="s">
        <v>428</v>
      </c>
      <c r="Y47" s="93">
        <v>43649</v>
      </c>
      <c r="Z47" s="79" t="s">
        <v>432</v>
      </c>
      <c r="AA47" s="98">
        <v>43693</v>
      </c>
      <c r="AB47" s="79" t="s">
        <v>439</v>
      </c>
      <c r="AC47" s="93">
        <v>43712</v>
      </c>
      <c r="AD47" s="79" t="s">
        <v>448</v>
      </c>
      <c r="AE47" s="98">
        <v>43753</v>
      </c>
      <c r="AF47" s="79" t="s">
        <v>452</v>
      </c>
      <c r="AG47" s="93">
        <v>43773</v>
      </c>
      <c r="AH47" s="79" t="s">
        <v>466</v>
      </c>
      <c r="AI47" s="93">
        <v>43803</v>
      </c>
      <c r="AJ47" s="79" t="s">
        <v>486</v>
      </c>
      <c r="AK47" s="93">
        <v>43832</v>
      </c>
      <c r="AL47" s="79" t="s">
        <v>492</v>
      </c>
      <c r="AM47" s="27"/>
      <c r="AN47" s="27"/>
    </row>
    <row r="48" spans="1:40" ht="16.5" customHeight="1" x14ac:dyDescent="0.3"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</row>
    <row r="49" spans="1:40" ht="33" customHeight="1" x14ac:dyDescent="0.3">
      <c r="A49" s="38" t="s">
        <v>108</v>
      </c>
      <c r="B49" s="39"/>
      <c r="C49" s="39"/>
      <c r="D49" s="39"/>
      <c r="E49" s="39"/>
      <c r="F49" s="39"/>
      <c r="G49" s="40"/>
      <c r="H49" s="40"/>
      <c r="I49" s="40"/>
      <c r="J49" s="40">
        <f>COUNTIF($J$3:$J$48,"계속")</f>
        <v>43</v>
      </c>
      <c r="K49" s="41">
        <f>SUMIF($J$3:$J$47,"계속",K3:K47)</f>
        <v>5660000</v>
      </c>
      <c r="L49" s="42">
        <f>SUMIF($J$3:$J$47,"계속",L3:L47)</f>
        <v>556000</v>
      </c>
      <c r="M49" s="42">
        <f>SUMIF($J$3:$J$47,"계속",M3:M47)</f>
        <v>6216000</v>
      </c>
      <c r="N49" s="43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</row>
    <row r="50" spans="1:40" ht="16.5" customHeight="1" x14ac:dyDescent="0.3">
      <c r="K50" s="45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7"/>
      <c r="AN50" s="37"/>
    </row>
    <row r="51" spans="1:40" ht="16.5" customHeight="1" x14ac:dyDescent="0.3"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37"/>
      <c r="AN51" s="37"/>
    </row>
    <row r="52" spans="1:40" ht="16.5" customHeight="1" x14ac:dyDescent="0.3"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</row>
    <row r="53" spans="1:40" ht="16.5" customHeight="1" x14ac:dyDescent="0.3"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</row>
    <row r="54" spans="1:40" ht="16.5" customHeight="1" x14ac:dyDescent="0.3">
      <c r="O54" s="45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</row>
    <row r="55" spans="1:40" ht="16.5" customHeight="1" x14ac:dyDescent="0.3"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  <c r="AG55" s="37"/>
      <c r="AH55" s="37"/>
      <c r="AI55" s="37"/>
      <c r="AJ55" s="37"/>
      <c r="AK55" s="37"/>
      <c r="AL55" s="37"/>
      <c r="AM55" s="37"/>
      <c r="AN55" s="37"/>
    </row>
    <row r="56" spans="1:40" ht="16.5" customHeight="1" x14ac:dyDescent="0.3"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</row>
    <row r="57" spans="1:40" ht="16.5" customHeight="1" x14ac:dyDescent="0.3"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</row>
    <row r="58" spans="1:40" ht="16.5" customHeight="1" x14ac:dyDescent="0.3">
      <c r="M58" s="46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  <c r="AF58" s="37"/>
      <c r="AG58" s="37"/>
      <c r="AH58" s="37"/>
      <c r="AI58" s="37"/>
      <c r="AJ58" s="37"/>
      <c r="AK58" s="37"/>
      <c r="AL58" s="37"/>
      <c r="AM58" s="37"/>
      <c r="AN58" s="37"/>
    </row>
    <row r="59" spans="1:40" ht="16.5" customHeight="1" x14ac:dyDescent="0.3">
      <c r="M59" s="46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  <c r="AG59" s="37"/>
      <c r="AH59" s="37"/>
      <c r="AI59" s="37"/>
      <c r="AJ59" s="37"/>
      <c r="AK59" s="37"/>
      <c r="AL59" s="37"/>
      <c r="AM59" s="37"/>
      <c r="AN59" s="37"/>
    </row>
    <row r="60" spans="1:40" ht="16.5" customHeight="1" x14ac:dyDescent="0.3">
      <c r="M60" s="46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7"/>
      <c r="AJ60" s="37"/>
      <c r="AK60" s="37"/>
      <c r="AL60" s="37"/>
      <c r="AM60" s="37"/>
      <c r="AN60" s="37"/>
    </row>
    <row r="61" spans="1:40" ht="16.5" customHeight="1" x14ac:dyDescent="0.3">
      <c r="M61" s="46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  <c r="AF61" s="37"/>
      <c r="AG61" s="37"/>
      <c r="AH61" s="37"/>
      <c r="AI61" s="37"/>
      <c r="AJ61" s="37"/>
      <c r="AK61" s="37"/>
      <c r="AL61" s="37"/>
      <c r="AM61" s="37"/>
      <c r="AN61" s="37"/>
    </row>
    <row r="62" spans="1:40" ht="16.5" customHeight="1" x14ac:dyDescent="0.3"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  <c r="AF62" s="37"/>
      <c r="AG62" s="37"/>
      <c r="AH62" s="37"/>
      <c r="AI62" s="37"/>
      <c r="AJ62" s="37"/>
      <c r="AK62" s="37"/>
      <c r="AL62" s="37"/>
      <c r="AM62" s="37"/>
      <c r="AN62" s="37"/>
    </row>
    <row r="63" spans="1:40" ht="16.5" customHeight="1" x14ac:dyDescent="0.3"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37"/>
      <c r="AN63" s="37"/>
    </row>
    <row r="64" spans="1:40" ht="16.5" customHeight="1" x14ac:dyDescent="0.3"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  <c r="AF64" s="37"/>
      <c r="AG64" s="37"/>
      <c r="AH64" s="37"/>
      <c r="AI64" s="37"/>
      <c r="AJ64" s="37"/>
      <c r="AK64" s="37"/>
      <c r="AL64" s="37"/>
      <c r="AM64" s="37"/>
      <c r="AN64" s="37"/>
    </row>
    <row r="65" spans="15:40" ht="16.5" customHeight="1" x14ac:dyDescent="0.3"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  <c r="AF65" s="37"/>
      <c r="AG65" s="37"/>
      <c r="AH65" s="37"/>
      <c r="AI65" s="37"/>
      <c r="AJ65" s="37"/>
      <c r="AK65" s="37"/>
      <c r="AL65" s="37"/>
      <c r="AM65" s="37"/>
      <c r="AN65" s="37"/>
    </row>
    <row r="66" spans="15:40" ht="16.5" customHeight="1" x14ac:dyDescent="0.3"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  <c r="AF66" s="37"/>
      <c r="AG66" s="37"/>
      <c r="AH66" s="37"/>
      <c r="AI66" s="37"/>
      <c r="AJ66" s="37"/>
      <c r="AK66" s="37"/>
      <c r="AL66" s="37"/>
      <c r="AM66" s="37"/>
      <c r="AN66" s="37"/>
    </row>
    <row r="67" spans="15:40" ht="16.5" customHeight="1" x14ac:dyDescent="0.3"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  <c r="AF67" s="37"/>
      <c r="AG67" s="37"/>
      <c r="AH67" s="37"/>
      <c r="AI67" s="37"/>
      <c r="AJ67" s="37"/>
      <c r="AK67" s="37"/>
      <c r="AL67" s="37"/>
      <c r="AM67" s="37"/>
      <c r="AN67" s="37"/>
    </row>
    <row r="68" spans="15:40" ht="16.5" customHeight="1" x14ac:dyDescent="0.3"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  <c r="AF68" s="37"/>
      <c r="AG68" s="37"/>
      <c r="AH68" s="37"/>
      <c r="AI68" s="37"/>
      <c r="AJ68" s="37"/>
      <c r="AK68" s="37"/>
      <c r="AL68" s="37"/>
      <c r="AM68" s="37"/>
      <c r="AN68" s="37"/>
    </row>
    <row r="69" spans="15:40" ht="16.5" customHeight="1" x14ac:dyDescent="0.3"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  <c r="AF69" s="37"/>
      <c r="AG69" s="37"/>
      <c r="AH69" s="37"/>
      <c r="AI69" s="37"/>
      <c r="AJ69" s="37"/>
      <c r="AK69" s="37"/>
      <c r="AL69" s="37"/>
      <c r="AM69" s="37"/>
      <c r="AN69" s="37"/>
    </row>
    <row r="70" spans="15:40" ht="16.5" customHeight="1" x14ac:dyDescent="0.3"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  <c r="AF70" s="37"/>
      <c r="AG70" s="37"/>
      <c r="AH70" s="37"/>
      <c r="AI70" s="37"/>
      <c r="AJ70" s="37"/>
      <c r="AK70" s="37"/>
      <c r="AL70" s="37"/>
      <c r="AM70" s="37"/>
      <c r="AN70" s="37"/>
    </row>
    <row r="71" spans="15:40" ht="16.5" customHeight="1" x14ac:dyDescent="0.3"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  <c r="AF71" s="37"/>
      <c r="AG71" s="37"/>
      <c r="AH71" s="37"/>
      <c r="AI71" s="37"/>
      <c r="AJ71" s="37"/>
      <c r="AK71" s="37"/>
      <c r="AL71" s="37"/>
      <c r="AM71" s="37"/>
      <c r="AN71" s="37"/>
    </row>
    <row r="72" spans="15:40" ht="16.5" customHeight="1" x14ac:dyDescent="0.3"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7"/>
      <c r="AJ72" s="37"/>
      <c r="AK72" s="37"/>
      <c r="AL72" s="37"/>
      <c r="AM72" s="37"/>
      <c r="AN72" s="37"/>
    </row>
    <row r="73" spans="15:40" ht="16.5" customHeight="1" x14ac:dyDescent="0.3"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  <c r="AF73" s="37"/>
      <c r="AG73" s="37"/>
      <c r="AH73" s="37"/>
      <c r="AI73" s="37"/>
      <c r="AJ73" s="37"/>
      <c r="AK73" s="37"/>
      <c r="AL73" s="37"/>
      <c r="AM73" s="37"/>
      <c r="AN73" s="37"/>
    </row>
    <row r="74" spans="15:40" ht="16.5" customHeight="1" x14ac:dyDescent="0.3"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  <c r="AF74" s="37"/>
      <c r="AG74" s="37"/>
      <c r="AH74" s="37"/>
      <c r="AI74" s="37"/>
      <c r="AJ74" s="37"/>
      <c r="AK74" s="37"/>
      <c r="AL74" s="37"/>
      <c r="AM74" s="37"/>
      <c r="AN74" s="37"/>
    </row>
    <row r="75" spans="15:40" ht="16.5" customHeight="1" x14ac:dyDescent="0.3"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</row>
    <row r="76" spans="15:40" ht="16.5" customHeight="1" x14ac:dyDescent="0.3"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  <c r="AF76" s="37"/>
      <c r="AG76" s="37"/>
      <c r="AH76" s="37"/>
      <c r="AI76" s="37"/>
      <c r="AJ76" s="37"/>
      <c r="AK76" s="37"/>
      <c r="AL76" s="37"/>
      <c r="AM76" s="37"/>
      <c r="AN76" s="37"/>
    </row>
    <row r="77" spans="15:40" ht="16.5" customHeight="1" x14ac:dyDescent="0.3"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  <c r="AF77" s="37"/>
      <c r="AG77" s="37"/>
      <c r="AH77" s="37"/>
      <c r="AI77" s="37"/>
      <c r="AJ77" s="37"/>
      <c r="AK77" s="37"/>
      <c r="AL77" s="37"/>
      <c r="AM77" s="37"/>
      <c r="AN77" s="37"/>
    </row>
    <row r="78" spans="15:40" ht="16.5" customHeight="1" x14ac:dyDescent="0.3"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  <c r="AF78" s="37"/>
      <c r="AG78" s="37"/>
      <c r="AH78" s="37"/>
      <c r="AI78" s="37"/>
      <c r="AJ78" s="37"/>
      <c r="AK78" s="37"/>
      <c r="AL78" s="37"/>
      <c r="AM78" s="37"/>
      <c r="AN78" s="37"/>
    </row>
    <row r="79" spans="15:40" ht="16.5" customHeight="1" x14ac:dyDescent="0.3"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  <c r="AF79" s="37"/>
      <c r="AG79" s="37"/>
      <c r="AH79" s="37"/>
      <c r="AI79" s="37"/>
      <c r="AJ79" s="37"/>
      <c r="AK79" s="37"/>
      <c r="AL79" s="37"/>
      <c r="AM79" s="37"/>
      <c r="AN79" s="37"/>
    </row>
    <row r="80" spans="15:40" ht="16.5" customHeight="1" x14ac:dyDescent="0.3"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  <c r="AF80" s="37"/>
      <c r="AG80" s="37"/>
      <c r="AH80" s="37"/>
      <c r="AI80" s="37"/>
      <c r="AJ80" s="37"/>
      <c r="AK80" s="37"/>
      <c r="AL80" s="37"/>
      <c r="AM80" s="37"/>
      <c r="AN80" s="37"/>
    </row>
    <row r="81" spans="15:40" ht="16.5" customHeight="1" x14ac:dyDescent="0.3"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  <c r="AF81" s="37"/>
      <c r="AG81" s="37"/>
      <c r="AH81" s="37"/>
      <c r="AI81" s="37"/>
      <c r="AJ81" s="37"/>
      <c r="AK81" s="37"/>
      <c r="AL81" s="37"/>
      <c r="AM81" s="37"/>
      <c r="AN81" s="37"/>
    </row>
    <row r="82" spans="15:40" ht="16.5" customHeight="1" x14ac:dyDescent="0.3"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7"/>
      <c r="AJ82" s="37"/>
      <c r="AK82" s="37"/>
      <c r="AL82" s="37"/>
      <c r="AM82" s="37"/>
      <c r="AN82" s="37"/>
    </row>
    <row r="83" spans="15:40" ht="16.5" customHeight="1" x14ac:dyDescent="0.3"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37"/>
      <c r="AM83" s="37"/>
      <c r="AN83" s="37"/>
    </row>
    <row r="84" spans="15:40" ht="16.5" customHeight="1" x14ac:dyDescent="0.3"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  <c r="AF84" s="37"/>
      <c r="AG84" s="37"/>
      <c r="AH84" s="37"/>
      <c r="AI84" s="37"/>
      <c r="AJ84" s="37"/>
      <c r="AK84" s="37"/>
      <c r="AL84" s="37"/>
      <c r="AM84" s="37"/>
      <c r="AN84" s="37"/>
    </row>
    <row r="85" spans="15:40" ht="16.5" customHeight="1" x14ac:dyDescent="0.3"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  <c r="AF85" s="37"/>
      <c r="AG85" s="37"/>
      <c r="AH85" s="37"/>
      <c r="AI85" s="37"/>
      <c r="AJ85" s="37"/>
      <c r="AK85" s="37"/>
      <c r="AL85" s="37"/>
      <c r="AM85" s="37"/>
      <c r="AN85" s="37"/>
    </row>
    <row r="86" spans="15:40" ht="16.5" customHeight="1" x14ac:dyDescent="0.3"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  <c r="AF86" s="37"/>
      <c r="AG86" s="37"/>
      <c r="AH86" s="37"/>
      <c r="AI86" s="37"/>
      <c r="AJ86" s="37"/>
      <c r="AK86" s="37"/>
      <c r="AL86" s="37"/>
      <c r="AM86" s="37"/>
      <c r="AN86" s="37"/>
    </row>
    <row r="87" spans="15:40" ht="16.5" customHeight="1" x14ac:dyDescent="0.3"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  <c r="AF87" s="37"/>
      <c r="AG87" s="37"/>
      <c r="AH87" s="37"/>
      <c r="AI87" s="37"/>
      <c r="AJ87" s="37"/>
      <c r="AK87" s="37"/>
      <c r="AL87" s="37"/>
      <c r="AM87" s="37"/>
      <c r="AN87" s="37"/>
    </row>
    <row r="88" spans="15:40" ht="16.5" customHeight="1" x14ac:dyDescent="0.3"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  <c r="AF88" s="37"/>
      <c r="AG88" s="37"/>
      <c r="AH88" s="37"/>
      <c r="AI88" s="37"/>
      <c r="AJ88" s="37"/>
      <c r="AK88" s="37"/>
      <c r="AL88" s="37"/>
      <c r="AM88" s="37"/>
      <c r="AN88" s="37"/>
    </row>
    <row r="89" spans="15:40" ht="16.5" customHeight="1" x14ac:dyDescent="0.3"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  <c r="AF89" s="37"/>
      <c r="AG89" s="37"/>
      <c r="AH89" s="37"/>
      <c r="AI89" s="37"/>
      <c r="AJ89" s="37"/>
      <c r="AK89" s="37"/>
      <c r="AL89" s="37"/>
      <c r="AM89" s="37"/>
      <c r="AN89" s="37"/>
    </row>
    <row r="90" spans="15:40" ht="16.5" customHeight="1" x14ac:dyDescent="0.3"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  <c r="AF90" s="37"/>
      <c r="AG90" s="37"/>
      <c r="AH90" s="37"/>
      <c r="AI90" s="37"/>
      <c r="AJ90" s="37"/>
      <c r="AK90" s="37"/>
      <c r="AL90" s="37"/>
      <c r="AM90" s="37"/>
      <c r="AN90" s="37"/>
    </row>
    <row r="91" spans="15:40" ht="16.5" customHeight="1" x14ac:dyDescent="0.3"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  <c r="AF91" s="37"/>
      <c r="AG91" s="37"/>
      <c r="AH91" s="37"/>
      <c r="AI91" s="37"/>
      <c r="AJ91" s="37"/>
      <c r="AK91" s="37"/>
      <c r="AL91" s="37"/>
      <c r="AM91" s="37"/>
      <c r="AN91" s="37"/>
    </row>
    <row r="92" spans="15:40" ht="16.5" customHeight="1" x14ac:dyDescent="0.3"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  <c r="AF92" s="37"/>
      <c r="AG92" s="37"/>
      <c r="AH92" s="37"/>
      <c r="AI92" s="37"/>
      <c r="AJ92" s="37"/>
      <c r="AK92" s="37"/>
      <c r="AL92" s="37"/>
      <c r="AM92" s="37"/>
      <c r="AN92" s="37"/>
    </row>
    <row r="93" spans="15:40" ht="16.5" customHeight="1" x14ac:dyDescent="0.3"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  <c r="AF93" s="37"/>
      <c r="AG93" s="37"/>
      <c r="AH93" s="37"/>
      <c r="AI93" s="37"/>
      <c r="AJ93" s="37"/>
      <c r="AK93" s="37"/>
      <c r="AL93" s="37"/>
      <c r="AM93" s="37"/>
      <c r="AN93" s="37"/>
    </row>
    <row r="94" spans="15:40" ht="16.5" customHeight="1" x14ac:dyDescent="0.3"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  <c r="AD94" s="37"/>
      <c r="AE94" s="37"/>
      <c r="AF94" s="37"/>
      <c r="AG94" s="37"/>
      <c r="AH94" s="37"/>
      <c r="AI94" s="37"/>
      <c r="AJ94" s="37"/>
      <c r="AK94" s="37"/>
      <c r="AL94" s="37"/>
      <c r="AM94" s="37"/>
      <c r="AN94" s="37"/>
    </row>
    <row r="95" spans="15:40" ht="16.5" customHeight="1" x14ac:dyDescent="0.3"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  <c r="AF95" s="37"/>
      <c r="AG95" s="37"/>
      <c r="AH95" s="37"/>
      <c r="AI95" s="37"/>
      <c r="AJ95" s="37"/>
      <c r="AK95" s="37"/>
      <c r="AL95" s="37"/>
      <c r="AM95" s="37"/>
      <c r="AN95" s="37"/>
    </row>
    <row r="96" spans="15:40" ht="16.5" customHeight="1" x14ac:dyDescent="0.3"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  <c r="AF96" s="37"/>
      <c r="AG96" s="37"/>
      <c r="AH96" s="37"/>
      <c r="AI96" s="37"/>
      <c r="AJ96" s="37"/>
      <c r="AK96" s="37"/>
      <c r="AL96" s="37"/>
      <c r="AM96" s="37"/>
      <c r="AN96" s="37"/>
    </row>
    <row r="97" spans="15:40" ht="16.5" customHeight="1" x14ac:dyDescent="0.3"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  <c r="AF97" s="37"/>
      <c r="AG97" s="37"/>
      <c r="AH97" s="37"/>
      <c r="AI97" s="37"/>
      <c r="AJ97" s="37"/>
      <c r="AK97" s="37"/>
      <c r="AL97" s="37"/>
      <c r="AM97" s="37"/>
      <c r="AN97" s="37"/>
    </row>
    <row r="98" spans="15:40" ht="16.5" customHeight="1" x14ac:dyDescent="0.3"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  <c r="AD98" s="37"/>
      <c r="AE98" s="37"/>
      <c r="AF98" s="37"/>
      <c r="AG98" s="37"/>
      <c r="AH98" s="37"/>
      <c r="AI98" s="37"/>
      <c r="AJ98" s="37"/>
      <c r="AK98" s="37"/>
      <c r="AL98" s="37"/>
      <c r="AM98" s="37"/>
      <c r="AN98" s="37"/>
    </row>
    <row r="99" spans="15:40" ht="16.5" customHeight="1" x14ac:dyDescent="0.3"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  <c r="AF99" s="37"/>
      <c r="AG99" s="37"/>
      <c r="AH99" s="37"/>
      <c r="AI99" s="37"/>
      <c r="AJ99" s="37"/>
      <c r="AK99" s="37"/>
      <c r="AL99" s="37"/>
      <c r="AM99" s="37"/>
      <c r="AN99" s="37"/>
    </row>
    <row r="100" spans="15:40" ht="16.5" customHeight="1" x14ac:dyDescent="0.3"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  <c r="AF100" s="37"/>
      <c r="AG100" s="37"/>
      <c r="AH100" s="37"/>
      <c r="AI100" s="37"/>
      <c r="AJ100" s="37"/>
      <c r="AK100" s="37"/>
      <c r="AL100" s="37"/>
      <c r="AM100" s="37"/>
      <c r="AN100" s="37"/>
    </row>
    <row r="101" spans="15:40" ht="16.5" customHeight="1" x14ac:dyDescent="0.3"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  <c r="AF101" s="37"/>
      <c r="AG101" s="37"/>
      <c r="AH101" s="37"/>
      <c r="AI101" s="37"/>
      <c r="AJ101" s="37"/>
      <c r="AK101" s="37"/>
      <c r="AL101" s="37"/>
      <c r="AM101" s="37"/>
      <c r="AN101" s="37"/>
    </row>
  </sheetData>
  <autoFilter ref="A2:AN47" xr:uid="{00000000-0009-0000-0000-000003000000}">
    <sortState xmlns:xlrd2="http://schemas.microsoft.com/office/spreadsheetml/2017/richdata2" ref="A3:AN47">
      <sortCondition ref="N2:N47"/>
    </sortState>
  </autoFilter>
  <mergeCells count="16">
    <mergeCell ref="U1:V1"/>
    <mergeCell ref="E1:F1"/>
    <mergeCell ref="K1:M1"/>
    <mergeCell ref="O1:P1"/>
    <mergeCell ref="Q1:R1"/>
    <mergeCell ref="S1:T1"/>
    <mergeCell ref="H1:J1"/>
    <mergeCell ref="AK1:AL1"/>
    <mergeCell ref="AM1:AN1"/>
    <mergeCell ref="W1:X1"/>
    <mergeCell ref="Y1:Z1"/>
    <mergeCell ref="AA1:AB1"/>
    <mergeCell ref="AC1:AD1"/>
    <mergeCell ref="AE1:AF1"/>
    <mergeCell ref="AG1:AH1"/>
    <mergeCell ref="AI1:AJ1"/>
  </mergeCells>
  <phoneticPr fontId="13" type="noConversion"/>
  <conditionalFormatting sqref="I24 I36:I40 I25:J31 I3:J23">
    <cfRule type="timePeriod" dxfId="13" priority="24" timePeriod="yesterday">
      <formula>FLOOR(I3,1)=TODAY()-1</formula>
    </cfRule>
  </conditionalFormatting>
  <conditionalFormatting sqref="I32:J32">
    <cfRule type="timePeriod" dxfId="12" priority="27" timePeriod="yesterday">
      <formula>FLOOR(I32,1)=TODAY()-1</formula>
    </cfRule>
  </conditionalFormatting>
  <conditionalFormatting sqref="I33">
    <cfRule type="timePeriod" dxfId="11" priority="29" timePeriod="yesterday">
      <formula>FLOOR(I33,1)=TODAY()-1</formula>
    </cfRule>
  </conditionalFormatting>
  <conditionalFormatting sqref="J33">
    <cfRule type="timePeriod" dxfId="10" priority="30" timePeriod="yesterday">
      <formula>FLOOR(J33,1)=TODAY()-1</formula>
    </cfRule>
  </conditionalFormatting>
  <conditionalFormatting sqref="J34">
    <cfRule type="timePeriod" dxfId="9" priority="32" timePeriod="yesterday">
      <formula>FLOOR(J34,1)=TODAY()-1</formula>
    </cfRule>
  </conditionalFormatting>
  <conditionalFormatting sqref="I41:J41">
    <cfRule type="timePeriod" dxfId="8" priority="20" timePeriod="yesterday">
      <formula>FLOOR(I41,1)=TODAY()-1</formula>
    </cfRule>
  </conditionalFormatting>
  <conditionalFormatting sqref="K41">
    <cfRule type="dataBar" priority="2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{F1463427-C281-4F65-AA02-B9F455D99C97}</x14:id>
        </ext>
      </extLst>
    </cfRule>
  </conditionalFormatting>
  <conditionalFormatting sqref="J42:J45">
    <cfRule type="timePeriod" dxfId="7" priority="17" timePeriod="yesterday">
      <formula>FLOOR(J42,1)=TODAY()-1</formula>
    </cfRule>
  </conditionalFormatting>
  <conditionalFormatting sqref="K42:K44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{B5E6B604-F73F-43D2-BA62-885959A2D669}</x14:id>
        </ext>
      </extLst>
    </cfRule>
  </conditionalFormatting>
  <conditionalFormatting sqref="K3:L45 K47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{765AB792-A6FD-4B5B-A7E4-8542B0FFCD84}</x14:id>
        </ext>
      </extLst>
    </cfRule>
  </conditionalFormatting>
  <conditionalFormatting sqref="N3:N45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{9508EEFC-EBAC-4E7F-BA7F-EFEE6AC80655}</x14:id>
        </ext>
      </extLst>
    </cfRule>
  </conditionalFormatting>
  <conditionalFormatting sqref="J46:J47">
    <cfRule type="timePeriod" dxfId="6" priority="3" timePeriod="yesterday">
      <formula>FLOOR(J46,1)=TODAY()-1</formula>
    </cfRule>
  </conditionalFormatting>
  <conditionalFormatting sqref="K46:L46 L4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{4529F51C-C3A1-466E-B409-A9C99FB6A563}</x14:id>
        </ext>
      </extLst>
    </cfRule>
  </conditionalFormatting>
  <conditionalFormatting sqref="N46:N4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{DE6E5D60-A080-4F80-928B-F2388AD3A84A}</x14:id>
        </ext>
      </extLst>
    </cfRule>
  </conditionalFormatting>
  <conditionalFormatting sqref="J37">
    <cfRule type="timePeriod" dxfId="5" priority="1" timePeriod="yesterday">
      <formula>FLOOR(J37,1)=TODAY()-1</formula>
    </cfRule>
  </conditionalFormatting>
  <pageMargins left="0.7" right="0.7" top="0.75" bottom="0.75" header="0.3" footer="0.3"/>
  <pageSetup paperSize="9" scale="25" fitToHeight="0" orientation="landscape" horizontalDpi="4294967292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463427-C281-4F65-AA02-B9F455D99C9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K41</xm:sqref>
        </x14:conditionalFormatting>
        <x14:conditionalFormatting xmlns:xm="http://schemas.microsoft.com/office/excel/2006/main">
          <x14:cfRule type="dataBar" id="{B5E6B604-F73F-43D2-BA62-885959A2D66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K42:K44</xm:sqref>
        </x14:conditionalFormatting>
        <x14:conditionalFormatting xmlns:xm="http://schemas.microsoft.com/office/excel/2006/main">
          <x14:cfRule type="dataBar" id="{765AB792-A6FD-4B5B-A7E4-8542B0FFCD8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K3:L45 K47</xm:sqref>
        </x14:conditionalFormatting>
        <x14:conditionalFormatting xmlns:xm="http://schemas.microsoft.com/office/excel/2006/main">
          <x14:cfRule type="dataBar" id="{9508EEFC-EBAC-4E7F-BA7F-EFEE6AC806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N3:N45</xm:sqref>
        </x14:conditionalFormatting>
        <x14:conditionalFormatting xmlns:xm="http://schemas.microsoft.com/office/excel/2006/main">
          <x14:cfRule type="dataBar" id="{4529F51C-C3A1-466E-B409-A9C99FB6A5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K46:L46 L47</xm:sqref>
        </x14:conditionalFormatting>
        <x14:conditionalFormatting xmlns:xm="http://schemas.microsoft.com/office/excel/2006/main">
          <x14:cfRule type="dataBar" id="{DE6E5D60-A080-4F80-928B-F2388AD3A8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N46:N47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N100"/>
  <sheetViews>
    <sheetView zoomScale="85" zoomScaleNormal="85" workbookViewId="0">
      <selection activeCell="B8" sqref="A8:XFD8"/>
    </sheetView>
  </sheetViews>
  <sheetFormatPr defaultColWidth="12.625" defaultRowHeight="15" customHeight="1" x14ac:dyDescent="0.3"/>
  <cols>
    <col min="1" max="1" width="7.625" customWidth="1"/>
    <col min="2" max="2" width="22.25" customWidth="1"/>
    <col min="3" max="3" width="16.5" customWidth="1"/>
    <col min="4" max="7" width="7.875" customWidth="1"/>
    <col min="8" max="10" width="10.875" customWidth="1"/>
    <col min="11" max="11" width="11" customWidth="1"/>
    <col min="12" max="12" width="9" customWidth="1"/>
    <col min="13" max="13" width="10.875" customWidth="1"/>
    <col min="14" max="14" width="11.5" customWidth="1"/>
    <col min="15" max="40" width="10.25" customWidth="1"/>
  </cols>
  <sheetData>
    <row r="1" spans="1:40" ht="16.5" customHeight="1" x14ac:dyDescent="0.3">
      <c r="A1" s="1" t="s">
        <v>46</v>
      </c>
      <c r="B1" s="1" t="s">
        <v>47</v>
      </c>
      <c r="C1" s="1" t="s">
        <v>2</v>
      </c>
      <c r="D1" s="1" t="s">
        <v>48</v>
      </c>
      <c r="E1" s="376" t="s">
        <v>49</v>
      </c>
      <c r="F1" s="377"/>
      <c r="G1" s="1" t="s">
        <v>50</v>
      </c>
      <c r="H1" s="13"/>
      <c r="I1" s="13"/>
      <c r="J1" s="13"/>
      <c r="K1" s="376" t="s">
        <v>51</v>
      </c>
      <c r="L1" s="538"/>
      <c r="M1" s="377"/>
      <c r="N1" s="14" t="s">
        <v>52</v>
      </c>
      <c r="O1" s="539" t="s">
        <v>53</v>
      </c>
      <c r="P1" s="540"/>
      <c r="Q1" s="539">
        <f>O1+1</f>
        <v>2</v>
      </c>
      <c r="R1" s="540"/>
      <c r="S1" s="539">
        <f>Q1+1</f>
        <v>3</v>
      </c>
      <c r="T1" s="540"/>
      <c r="U1" s="539">
        <f>S1+1</f>
        <v>4</v>
      </c>
      <c r="V1" s="540"/>
      <c r="W1" s="539">
        <f>U1+1</f>
        <v>5</v>
      </c>
      <c r="X1" s="540"/>
      <c r="Y1" s="539">
        <f>W1+1</f>
        <v>6</v>
      </c>
      <c r="Z1" s="540"/>
      <c r="AA1" s="539">
        <f>Y1+1</f>
        <v>7</v>
      </c>
      <c r="AB1" s="540"/>
      <c r="AC1" s="539">
        <f>AA1+1</f>
        <v>8</v>
      </c>
      <c r="AD1" s="540"/>
      <c r="AE1" s="539">
        <f>AC1+1</f>
        <v>9</v>
      </c>
      <c r="AF1" s="540"/>
      <c r="AG1" s="539">
        <f>AE1+1</f>
        <v>10</v>
      </c>
      <c r="AH1" s="540"/>
      <c r="AI1" s="539">
        <f>AG1+1</f>
        <v>11</v>
      </c>
      <c r="AJ1" s="540"/>
      <c r="AK1" s="539">
        <f>AI1+1</f>
        <v>12</v>
      </c>
      <c r="AL1" s="540"/>
      <c r="AM1" s="537" t="s">
        <v>54</v>
      </c>
      <c r="AN1" s="377"/>
    </row>
    <row r="2" spans="1:40" ht="16.5" customHeight="1" x14ac:dyDescent="0.3">
      <c r="A2" s="1" t="s">
        <v>46</v>
      </c>
      <c r="B2" s="1" t="s">
        <v>47</v>
      </c>
      <c r="C2" s="1" t="s">
        <v>2</v>
      </c>
      <c r="D2" s="1" t="s">
        <v>48</v>
      </c>
      <c r="E2" s="1" t="s">
        <v>55</v>
      </c>
      <c r="F2" s="1" t="s">
        <v>56</v>
      </c>
      <c r="G2" s="1" t="s">
        <v>50</v>
      </c>
      <c r="H2" s="3" t="s">
        <v>57</v>
      </c>
      <c r="I2" s="3" t="s">
        <v>58</v>
      </c>
      <c r="J2" s="13" t="s">
        <v>59</v>
      </c>
      <c r="K2" s="1" t="s">
        <v>60</v>
      </c>
      <c r="L2" s="1" t="s">
        <v>61</v>
      </c>
      <c r="M2" s="1" t="s">
        <v>62</v>
      </c>
      <c r="N2" s="14" t="s">
        <v>52</v>
      </c>
      <c r="O2" s="15" t="s">
        <v>52</v>
      </c>
      <c r="P2" s="16" t="s">
        <v>63</v>
      </c>
      <c r="Q2" s="15" t="s">
        <v>52</v>
      </c>
      <c r="R2" s="16" t="s">
        <v>63</v>
      </c>
      <c r="S2" s="15" t="s">
        <v>52</v>
      </c>
      <c r="T2" s="16" t="s">
        <v>63</v>
      </c>
      <c r="U2" s="15" t="s">
        <v>52</v>
      </c>
      <c r="V2" s="16" t="s">
        <v>63</v>
      </c>
      <c r="W2" s="15" t="s">
        <v>52</v>
      </c>
      <c r="X2" s="16" t="s">
        <v>63</v>
      </c>
      <c r="Y2" s="15" t="s">
        <v>52</v>
      </c>
      <c r="Z2" s="16" t="s">
        <v>63</v>
      </c>
      <c r="AA2" s="15" t="s">
        <v>52</v>
      </c>
      <c r="AB2" s="16" t="s">
        <v>63</v>
      </c>
      <c r="AC2" s="15" t="s">
        <v>52</v>
      </c>
      <c r="AD2" s="16" t="s">
        <v>63</v>
      </c>
      <c r="AE2" s="15" t="s">
        <v>52</v>
      </c>
      <c r="AF2" s="16" t="s">
        <v>63</v>
      </c>
      <c r="AG2" s="15" t="s">
        <v>52</v>
      </c>
      <c r="AH2" s="16" t="s">
        <v>63</v>
      </c>
      <c r="AI2" s="15" t="s">
        <v>52</v>
      </c>
      <c r="AJ2" s="16" t="s">
        <v>63</v>
      </c>
      <c r="AK2" s="15" t="s">
        <v>52</v>
      </c>
      <c r="AL2" s="16" t="s">
        <v>63</v>
      </c>
      <c r="AM2" s="17" t="s">
        <v>52</v>
      </c>
      <c r="AN2" s="17" t="s">
        <v>63</v>
      </c>
    </row>
    <row r="3" spans="1:40" ht="33" customHeight="1" x14ac:dyDescent="0.3">
      <c r="A3" s="3">
        <v>1</v>
      </c>
      <c r="B3" s="8" t="s">
        <v>11</v>
      </c>
      <c r="C3" s="8" t="s">
        <v>64</v>
      </c>
      <c r="D3" s="18" t="s">
        <v>65</v>
      </c>
      <c r="E3" s="3" t="s">
        <v>66</v>
      </c>
      <c r="F3" s="3" t="s">
        <v>67</v>
      </c>
      <c r="G3" s="19">
        <v>5</v>
      </c>
      <c r="H3" s="20">
        <v>42583</v>
      </c>
      <c r="I3" s="20">
        <v>42947</v>
      </c>
      <c r="J3" s="21" t="s">
        <v>68</v>
      </c>
      <c r="K3" s="5">
        <v>50000</v>
      </c>
      <c r="L3" s="5">
        <f t="shared" ref="L3:L27" si="0">ROUNDDOWN(K3*10%,1)</f>
        <v>5000</v>
      </c>
      <c r="M3" s="7">
        <f t="shared" ref="M3:M43" si="1">SUM(K3:L3)</f>
        <v>55000</v>
      </c>
      <c r="N3" s="22">
        <v>5</v>
      </c>
      <c r="O3" s="23" t="s">
        <v>109</v>
      </c>
      <c r="P3" s="24" t="s">
        <v>110</v>
      </c>
      <c r="Q3" s="23" t="s">
        <v>111</v>
      </c>
      <c r="R3" s="24" t="s">
        <v>112</v>
      </c>
      <c r="S3" s="25" t="s">
        <v>113</v>
      </c>
      <c r="T3" s="26" t="s">
        <v>113</v>
      </c>
      <c r="U3" s="23" t="s">
        <v>114</v>
      </c>
      <c r="V3" s="24" t="s">
        <v>115</v>
      </c>
      <c r="W3" s="23" t="s">
        <v>116</v>
      </c>
      <c r="X3" s="24" t="s">
        <v>116</v>
      </c>
      <c r="Y3" s="23" t="s">
        <v>117</v>
      </c>
      <c r="Z3" s="24" t="s">
        <v>117</v>
      </c>
      <c r="AA3" s="23" t="s">
        <v>118</v>
      </c>
      <c r="AB3" s="24" t="s">
        <v>118</v>
      </c>
      <c r="AC3" s="23" t="s">
        <v>119</v>
      </c>
      <c r="AD3" s="24" t="s">
        <v>119</v>
      </c>
      <c r="AE3" s="23" t="s">
        <v>120</v>
      </c>
      <c r="AF3" s="24" t="s">
        <v>120</v>
      </c>
      <c r="AG3" s="23" t="s">
        <v>121</v>
      </c>
      <c r="AH3" s="24" t="s">
        <v>121</v>
      </c>
      <c r="AI3" s="23" t="s">
        <v>122</v>
      </c>
      <c r="AJ3" s="24" t="s">
        <v>123</v>
      </c>
      <c r="AK3" s="23" t="s">
        <v>124</v>
      </c>
      <c r="AL3" s="24" t="s">
        <v>124</v>
      </c>
      <c r="AM3" s="27"/>
      <c r="AN3" s="27"/>
    </row>
    <row r="4" spans="1:40" ht="33" customHeight="1" x14ac:dyDescent="0.3">
      <c r="A4" s="3">
        <v>1</v>
      </c>
      <c r="B4" s="8" t="s">
        <v>20</v>
      </c>
      <c r="C4" s="8" t="s">
        <v>69</v>
      </c>
      <c r="D4" s="28" t="s">
        <v>70</v>
      </c>
      <c r="E4" s="3" t="s">
        <v>66</v>
      </c>
      <c r="F4" s="3" t="s">
        <v>67</v>
      </c>
      <c r="G4" s="6">
        <v>7</v>
      </c>
      <c r="H4" s="21">
        <v>43108</v>
      </c>
      <c r="I4" s="21">
        <v>43465</v>
      </c>
      <c r="J4" s="21" t="s">
        <v>68</v>
      </c>
      <c r="K4" s="5">
        <v>100000</v>
      </c>
      <c r="L4" s="5">
        <f t="shared" si="0"/>
        <v>10000</v>
      </c>
      <c r="M4" s="7">
        <f t="shared" si="1"/>
        <v>110000</v>
      </c>
      <c r="N4" s="22">
        <v>5</v>
      </c>
      <c r="O4" s="47"/>
      <c r="P4" s="48"/>
      <c r="Q4" s="23" t="s">
        <v>125</v>
      </c>
      <c r="R4" s="24" t="s">
        <v>112</v>
      </c>
      <c r="S4" s="23" t="s">
        <v>126</v>
      </c>
      <c r="T4" s="24" t="s">
        <v>127</v>
      </c>
      <c r="U4" s="23" t="s">
        <v>128</v>
      </c>
      <c r="V4" s="24" t="s">
        <v>129</v>
      </c>
      <c r="W4" s="23" t="s">
        <v>130</v>
      </c>
      <c r="X4" s="24" t="s">
        <v>131</v>
      </c>
      <c r="Y4" s="23" t="s">
        <v>117</v>
      </c>
      <c r="Z4" s="24" t="s">
        <v>132</v>
      </c>
      <c r="AA4" s="23" t="s">
        <v>133</v>
      </c>
      <c r="AB4" s="24" t="s">
        <v>134</v>
      </c>
      <c r="AC4" s="23" t="s">
        <v>135</v>
      </c>
      <c r="AD4" s="24" t="s">
        <v>136</v>
      </c>
      <c r="AE4" s="23" t="s">
        <v>137</v>
      </c>
      <c r="AF4" s="24" t="s">
        <v>138</v>
      </c>
      <c r="AG4" s="23" t="s">
        <v>139</v>
      </c>
      <c r="AH4" s="24" t="s">
        <v>140</v>
      </c>
      <c r="AI4" s="23" t="s">
        <v>141</v>
      </c>
      <c r="AJ4" s="24" t="s">
        <v>142</v>
      </c>
      <c r="AK4" s="23" t="s">
        <v>143</v>
      </c>
      <c r="AL4" s="24" t="s">
        <v>144</v>
      </c>
      <c r="AM4" s="27"/>
      <c r="AN4" s="27"/>
    </row>
    <row r="5" spans="1:40" ht="33" customHeight="1" x14ac:dyDescent="0.3">
      <c r="A5" s="3">
        <v>1</v>
      </c>
      <c r="B5" s="8" t="s">
        <v>12</v>
      </c>
      <c r="C5" s="8" t="s">
        <v>71</v>
      </c>
      <c r="D5" s="28" t="s">
        <v>70</v>
      </c>
      <c r="E5" s="3" t="s">
        <v>66</v>
      </c>
      <c r="F5" s="3" t="s">
        <v>67</v>
      </c>
      <c r="G5" s="19">
        <v>5</v>
      </c>
      <c r="H5" s="29">
        <v>43244</v>
      </c>
      <c r="I5" s="29">
        <v>43608</v>
      </c>
      <c r="J5" s="20" t="s">
        <v>68</v>
      </c>
      <c r="K5" s="5">
        <v>100000</v>
      </c>
      <c r="L5" s="5">
        <f t="shared" si="0"/>
        <v>10000</v>
      </c>
      <c r="M5" s="7">
        <f t="shared" si="1"/>
        <v>110000</v>
      </c>
      <c r="N5" s="22">
        <v>5</v>
      </c>
      <c r="O5" s="47"/>
      <c r="P5" s="48"/>
      <c r="Q5" s="47"/>
      <c r="R5" s="48"/>
      <c r="S5" s="47"/>
      <c r="T5" s="48"/>
      <c r="U5" s="47"/>
      <c r="V5" s="48"/>
      <c r="W5" s="47"/>
      <c r="X5" s="48"/>
      <c r="Y5" s="23" t="s">
        <v>117</v>
      </c>
      <c r="Z5" s="24" t="s">
        <v>132</v>
      </c>
      <c r="AA5" s="23" t="s">
        <v>133</v>
      </c>
      <c r="AB5" s="24" t="s">
        <v>134</v>
      </c>
      <c r="AC5" s="23" t="s">
        <v>135</v>
      </c>
      <c r="AD5" s="24" t="s">
        <v>136</v>
      </c>
      <c r="AE5" s="23" t="s">
        <v>137</v>
      </c>
      <c r="AF5" s="24" t="s">
        <v>138</v>
      </c>
      <c r="AG5" s="23" t="s">
        <v>139</v>
      </c>
      <c r="AH5" s="24" t="s">
        <v>140</v>
      </c>
      <c r="AI5" s="23" t="s">
        <v>141</v>
      </c>
      <c r="AJ5" s="24" t="s">
        <v>142</v>
      </c>
      <c r="AK5" s="23" t="s">
        <v>143</v>
      </c>
      <c r="AL5" s="24" t="s">
        <v>144</v>
      </c>
      <c r="AM5" s="27"/>
      <c r="AN5" s="27"/>
    </row>
    <row r="6" spans="1:40" ht="33" customHeight="1" x14ac:dyDescent="0.3">
      <c r="A6" s="3"/>
      <c r="B6" s="8" t="s">
        <v>13</v>
      </c>
      <c r="C6" s="8" t="s">
        <v>72</v>
      </c>
      <c r="D6" s="28" t="s">
        <v>70</v>
      </c>
      <c r="E6" s="3" t="s">
        <v>66</v>
      </c>
      <c r="F6" s="3" t="s">
        <v>67</v>
      </c>
      <c r="G6" s="19">
        <v>5</v>
      </c>
      <c r="H6" s="29">
        <v>43282</v>
      </c>
      <c r="I6" s="29" t="s">
        <v>73</v>
      </c>
      <c r="J6" s="21" t="s">
        <v>68</v>
      </c>
      <c r="K6" s="5">
        <v>100000</v>
      </c>
      <c r="L6" s="5">
        <f t="shared" si="0"/>
        <v>10000</v>
      </c>
      <c r="M6" s="7">
        <f t="shared" si="1"/>
        <v>110000</v>
      </c>
      <c r="N6" s="22">
        <v>5</v>
      </c>
      <c r="O6" s="47"/>
      <c r="P6" s="48"/>
      <c r="Q6" s="47"/>
      <c r="R6" s="48"/>
      <c r="S6" s="47"/>
      <c r="T6" s="48"/>
      <c r="U6" s="47"/>
      <c r="V6" s="48"/>
      <c r="W6" s="47"/>
      <c r="X6" s="48"/>
      <c r="Y6" s="47"/>
      <c r="Z6" s="48"/>
      <c r="AA6" s="47"/>
      <c r="AB6" s="48"/>
      <c r="AC6" s="23" t="s">
        <v>135</v>
      </c>
      <c r="AD6" s="24" t="s">
        <v>136</v>
      </c>
      <c r="AE6" s="23" t="s">
        <v>137</v>
      </c>
      <c r="AF6" s="24" t="s">
        <v>138</v>
      </c>
      <c r="AG6" s="23" t="s">
        <v>139</v>
      </c>
      <c r="AH6" s="24" t="s">
        <v>140</v>
      </c>
      <c r="AI6" s="23" t="s">
        <v>141</v>
      </c>
      <c r="AJ6" s="24" t="s">
        <v>142</v>
      </c>
      <c r="AK6" s="23" t="s">
        <v>143</v>
      </c>
      <c r="AL6" s="24" t="s">
        <v>144</v>
      </c>
      <c r="AM6" s="27"/>
      <c r="AN6" s="27"/>
    </row>
    <row r="7" spans="1:40" ht="33" customHeight="1" x14ac:dyDescent="0.3">
      <c r="A7" s="3">
        <v>1</v>
      </c>
      <c r="B7" s="8" t="s">
        <v>14</v>
      </c>
      <c r="C7" s="8" t="s">
        <v>74</v>
      </c>
      <c r="D7" s="18" t="s">
        <v>65</v>
      </c>
      <c r="E7" s="3" t="s">
        <v>66</v>
      </c>
      <c r="F7" s="3" t="s">
        <v>67</v>
      </c>
      <c r="G7" s="19">
        <v>5</v>
      </c>
      <c r="H7" s="20">
        <v>42887</v>
      </c>
      <c r="I7" s="30">
        <v>43616</v>
      </c>
      <c r="J7" s="21" t="s">
        <v>68</v>
      </c>
      <c r="K7" s="5">
        <v>250000</v>
      </c>
      <c r="L7" s="5">
        <f t="shared" si="0"/>
        <v>25000</v>
      </c>
      <c r="M7" s="7">
        <f t="shared" si="1"/>
        <v>275000</v>
      </c>
      <c r="N7" s="22">
        <v>10</v>
      </c>
      <c r="O7" s="23" t="s">
        <v>109</v>
      </c>
      <c r="P7" s="24" t="s">
        <v>110</v>
      </c>
      <c r="Q7" s="23" t="s">
        <v>145</v>
      </c>
      <c r="R7" s="24" t="s">
        <v>112</v>
      </c>
      <c r="S7" s="23" t="s">
        <v>146</v>
      </c>
      <c r="T7" s="24" t="s">
        <v>146</v>
      </c>
      <c r="U7" s="23" t="s">
        <v>147</v>
      </c>
      <c r="V7" s="24" t="s">
        <v>129</v>
      </c>
      <c r="W7" s="23" t="s">
        <v>131</v>
      </c>
      <c r="X7" s="24" t="s">
        <v>131</v>
      </c>
      <c r="Y7" s="23" t="s">
        <v>148</v>
      </c>
      <c r="Z7" s="24" t="s">
        <v>149</v>
      </c>
      <c r="AA7" s="23" t="s">
        <v>134</v>
      </c>
      <c r="AB7" s="24" t="s">
        <v>134</v>
      </c>
      <c r="AC7" s="23" t="s">
        <v>150</v>
      </c>
      <c r="AD7" s="24" t="s">
        <v>150</v>
      </c>
      <c r="AE7" s="23" t="s">
        <v>151</v>
      </c>
      <c r="AF7" s="24" t="s">
        <v>151</v>
      </c>
      <c r="AG7" s="23" t="s">
        <v>152</v>
      </c>
      <c r="AH7" s="24" t="s">
        <v>152</v>
      </c>
      <c r="AI7" s="23" t="s">
        <v>153</v>
      </c>
      <c r="AJ7" s="24" t="s">
        <v>153</v>
      </c>
      <c r="AK7" s="23" t="s">
        <v>154</v>
      </c>
      <c r="AL7" s="24" t="s">
        <v>144</v>
      </c>
      <c r="AM7" s="27"/>
      <c r="AN7" s="27"/>
    </row>
    <row r="8" spans="1:40" ht="33" customHeight="1" x14ac:dyDescent="0.3">
      <c r="A8" s="3">
        <v>3</v>
      </c>
      <c r="B8" s="3" t="s">
        <v>24</v>
      </c>
      <c r="C8" s="3" t="s">
        <v>75</v>
      </c>
      <c r="D8" s="28" t="s">
        <v>70</v>
      </c>
      <c r="E8" s="3" t="s">
        <v>66</v>
      </c>
      <c r="F8" s="3" t="s">
        <v>67</v>
      </c>
      <c r="G8" s="31">
        <v>10</v>
      </c>
      <c r="H8" s="20">
        <v>43063</v>
      </c>
      <c r="I8" s="30">
        <v>43465</v>
      </c>
      <c r="J8" s="21" t="s">
        <v>68</v>
      </c>
      <c r="K8" s="5">
        <v>100000</v>
      </c>
      <c r="L8" s="5">
        <f t="shared" si="0"/>
        <v>10000</v>
      </c>
      <c r="M8" s="7">
        <f t="shared" si="1"/>
        <v>110000</v>
      </c>
      <c r="N8" s="22">
        <v>10</v>
      </c>
      <c r="O8" s="23" t="s">
        <v>109</v>
      </c>
      <c r="P8" s="24" t="s">
        <v>155</v>
      </c>
      <c r="Q8" s="23" t="s">
        <v>145</v>
      </c>
      <c r="R8" s="24" t="s">
        <v>156</v>
      </c>
      <c r="S8" s="23" t="s">
        <v>157</v>
      </c>
      <c r="T8" s="24" t="s">
        <v>158</v>
      </c>
      <c r="U8" s="23" t="s">
        <v>147</v>
      </c>
      <c r="V8" s="24" t="s">
        <v>159</v>
      </c>
      <c r="W8" s="23" t="s">
        <v>131</v>
      </c>
      <c r="X8" s="24" t="s">
        <v>116</v>
      </c>
      <c r="Y8" s="23" t="s">
        <v>149</v>
      </c>
      <c r="Z8" s="24" t="s">
        <v>160</v>
      </c>
      <c r="AA8" s="23" t="s">
        <v>134</v>
      </c>
      <c r="AB8" s="24" t="s">
        <v>161</v>
      </c>
      <c r="AC8" s="23" t="s">
        <v>150</v>
      </c>
      <c r="AD8" s="24" t="s">
        <v>162</v>
      </c>
      <c r="AE8" s="23" t="s">
        <v>151</v>
      </c>
      <c r="AF8" s="24" t="s">
        <v>163</v>
      </c>
      <c r="AG8" s="23" t="s">
        <v>152</v>
      </c>
      <c r="AH8" s="24" t="s">
        <v>164</v>
      </c>
      <c r="AI8" s="23" t="s">
        <v>153</v>
      </c>
      <c r="AJ8" s="24" t="s">
        <v>165</v>
      </c>
      <c r="AK8" s="23" t="s">
        <v>154</v>
      </c>
      <c r="AL8" s="24" t="s">
        <v>144</v>
      </c>
      <c r="AM8" s="27"/>
      <c r="AN8" s="27"/>
    </row>
    <row r="9" spans="1:40" ht="33" customHeight="1" x14ac:dyDescent="0.3">
      <c r="A9" s="3">
        <v>3</v>
      </c>
      <c r="B9" s="8" t="s">
        <v>35</v>
      </c>
      <c r="C9" s="8" t="s">
        <v>76</v>
      </c>
      <c r="D9" s="28" t="s">
        <v>70</v>
      </c>
      <c r="E9" s="3" t="s">
        <v>66</v>
      </c>
      <c r="F9" s="3" t="s">
        <v>67</v>
      </c>
      <c r="G9" s="19">
        <v>25</v>
      </c>
      <c r="H9" s="20">
        <v>42826</v>
      </c>
      <c r="I9" s="20">
        <v>43190</v>
      </c>
      <c r="J9" s="21" t="s">
        <v>68</v>
      </c>
      <c r="K9" s="5">
        <v>100000</v>
      </c>
      <c r="L9" s="5">
        <f t="shared" si="0"/>
        <v>10000</v>
      </c>
      <c r="M9" s="7">
        <f t="shared" si="1"/>
        <v>110000</v>
      </c>
      <c r="N9" s="22">
        <v>10</v>
      </c>
      <c r="O9" s="23" t="s">
        <v>109</v>
      </c>
      <c r="P9" s="24" t="s">
        <v>155</v>
      </c>
      <c r="Q9" s="23" t="s">
        <v>145</v>
      </c>
      <c r="R9" s="24" t="s">
        <v>156</v>
      </c>
      <c r="S9" s="23" t="s">
        <v>157</v>
      </c>
      <c r="T9" s="24" t="s">
        <v>158</v>
      </c>
      <c r="U9" s="23" t="s">
        <v>147</v>
      </c>
      <c r="V9" s="24" t="s">
        <v>159</v>
      </c>
      <c r="W9" s="23" t="s">
        <v>166</v>
      </c>
      <c r="X9" s="24" t="s">
        <v>167</v>
      </c>
      <c r="Y9" s="23" t="s">
        <v>149</v>
      </c>
      <c r="Z9" s="24" t="s">
        <v>160</v>
      </c>
      <c r="AA9" s="23" t="s">
        <v>134</v>
      </c>
      <c r="AB9" s="24" t="s">
        <v>161</v>
      </c>
      <c r="AC9" s="23" t="s">
        <v>150</v>
      </c>
      <c r="AD9" s="24" t="s">
        <v>162</v>
      </c>
      <c r="AE9" s="23" t="s">
        <v>151</v>
      </c>
      <c r="AF9" s="24" t="s">
        <v>163</v>
      </c>
      <c r="AG9" s="23" t="s">
        <v>168</v>
      </c>
      <c r="AH9" s="24" t="s">
        <v>169</v>
      </c>
      <c r="AI9" s="23" t="s">
        <v>153</v>
      </c>
      <c r="AJ9" s="24" t="s">
        <v>165</v>
      </c>
      <c r="AK9" s="23" t="s">
        <v>154</v>
      </c>
      <c r="AL9" s="24" t="s">
        <v>144</v>
      </c>
      <c r="AM9" s="27"/>
      <c r="AN9" s="27"/>
    </row>
    <row r="10" spans="1:40" ht="33" customHeight="1" x14ac:dyDescent="0.3">
      <c r="A10" s="3">
        <v>3</v>
      </c>
      <c r="B10" s="8" t="s">
        <v>25</v>
      </c>
      <c r="C10" s="8" t="s">
        <v>77</v>
      </c>
      <c r="D10" s="28" t="s">
        <v>70</v>
      </c>
      <c r="E10" s="3" t="s">
        <v>66</v>
      </c>
      <c r="F10" s="3" t="s">
        <v>67</v>
      </c>
      <c r="G10" s="19">
        <v>10</v>
      </c>
      <c r="H10" s="20">
        <v>43132</v>
      </c>
      <c r="I10" s="20">
        <v>43496</v>
      </c>
      <c r="J10" s="21" t="s">
        <v>68</v>
      </c>
      <c r="K10" s="5">
        <v>100000</v>
      </c>
      <c r="L10" s="5">
        <f t="shared" si="0"/>
        <v>10000</v>
      </c>
      <c r="M10" s="7">
        <f t="shared" si="1"/>
        <v>110000</v>
      </c>
      <c r="N10" s="22">
        <v>10</v>
      </c>
      <c r="O10" s="47"/>
      <c r="P10" s="48"/>
      <c r="Q10" s="23" t="s">
        <v>145</v>
      </c>
      <c r="R10" s="24" t="s">
        <v>156</v>
      </c>
      <c r="S10" s="23" t="s">
        <v>157</v>
      </c>
      <c r="T10" s="24" t="s">
        <v>158</v>
      </c>
      <c r="U10" s="23" t="s">
        <v>147</v>
      </c>
      <c r="V10" s="24" t="s">
        <v>159</v>
      </c>
      <c r="W10" s="23" t="s">
        <v>131</v>
      </c>
      <c r="X10" s="24" t="s">
        <v>116</v>
      </c>
      <c r="Y10" s="23" t="s">
        <v>149</v>
      </c>
      <c r="Z10" s="24" t="s">
        <v>160</v>
      </c>
      <c r="AA10" s="23" t="s">
        <v>134</v>
      </c>
      <c r="AB10" s="24" t="s">
        <v>161</v>
      </c>
      <c r="AC10" s="23" t="s">
        <v>150</v>
      </c>
      <c r="AD10" s="24" t="s">
        <v>162</v>
      </c>
      <c r="AE10" s="23" t="s">
        <v>151</v>
      </c>
      <c r="AF10" s="24" t="s">
        <v>163</v>
      </c>
      <c r="AG10" s="23" t="s">
        <v>152</v>
      </c>
      <c r="AH10" s="24" t="s">
        <v>164</v>
      </c>
      <c r="AI10" s="23" t="s">
        <v>153</v>
      </c>
      <c r="AJ10" s="24" t="s">
        <v>165</v>
      </c>
      <c r="AK10" s="23" t="s">
        <v>154</v>
      </c>
      <c r="AL10" s="24" t="s">
        <v>144</v>
      </c>
      <c r="AM10" s="27"/>
      <c r="AN10" s="27"/>
    </row>
    <row r="11" spans="1:40" ht="33" customHeight="1" x14ac:dyDescent="0.3">
      <c r="A11" s="3"/>
      <c r="B11" s="8" t="s">
        <v>26</v>
      </c>
      <c r="C11" s="8" t="s">
        <v>78</v>
      </c>
      <c r="D11" s="28" t="s">
        <v>70</v>
      </c>
      <c r="E11" s="3" t="s">
        <v>66</v>
      </c>
      <c r="F11" s="3" t="s">
        <v>67</v>
      </c>
      <c r="G11" s="19">
        <v>10</v>
      </c>
      <c r="H11" s="29">
        <v>43252</v>
      </c>
      <c r="I11" s="29">
        <v>43616</v>
      </c>
      <c r="J11" s="21" t="s">
        <v>68</v>
      </c>
      <c r="K11" s="5">
        <v>100000</v>
      </c>
      <c r="L11" s="5">
        <f t="shared" si="0"/>
        <v>10000</v>
      </c>
      <c r="M11" s="7">
        <f t="shared" si="1"/>
        <v>110000</v>
      </c>
      <c r="N11" s="22">
        <v>10</v>
      </c>
      <c r="O11" s="47"/>
      <c r="P11" s="48"/>
      <c r="Q11" s="47"/>
      <c r="R11" s="48"/>
      <c r="S11" s="47"/>
      <c r="T11" s="48"/>
      <c r="U11" s="47"/>
      <c r="V11" s="48"/>
      <c r="W11" s="47"/>
      <c r="X11" s="48"/>
      <c r="Y11" s="47"/>
      <c r="Z11" s="48"/>
      <c r="AA11" s="23" t="s">
        <v>134</v>
      </c>
      <c r="AB11" s="24" t="s">
        <v>161</v>
      </c>
      <c r="AC11" s="49" t="s">
        <v>170</v>
      </c>
      <c r="AD11" s="50" t="s">
        <v>138</v>
      </c>
      <c r="AE11" s="23" t="s">
        <v>151</v>
      </c>
      <c r="AF11" s="24" t="s">
        <v>163</v>
      </c>
      <c r="AG11" s="23" t="s">
        <v>152</v>
      </c>
      <c r="AH11" s="24" t="s">
        <v>164</v>
      </c>
      <c r="AI11" s="23" t="s">
        <v>153</v>
      </c>
      <c r="AJ11" s="24" t="s">
        <v>165</v>
      </c>
      <c r="AK11" s="23" t="s">
        <v>154</v>
      </c>
      <c r="AL11" s="24" t="s">
        <v>144</v>
      </c>
      <c r="AM11" s="27"/>
      <c r="AN11" s="27"/>
    </row>
    <row r="12" spans="1:40" ht="33" customHeight="1" x14ac:dyDescent="0.3">
      <c r="A12" s="3"/>
      <c r="B12" s="8" t="s">
        <v>23</v>
      </c>
      <c r="C12" s="8" t="s">
        <v>79</v>
      </c>
      <c r="D12" s="28" t="s">
        <v>70</v>
      </c>
      <c r="E12" s="3" t="s">
        <v>66</v>
      </c>
      <c r="F12" s="3" t="s">
        <v>67</v>
      </c>
      <c r="G12" s="19">
        <v>10</v>
      </c>
      <c r="H12" s="29">
        <v>43405</v>
      </c>
      <c r="I12" s="29">
        <v>43769</v>
      </c>
      <c r="J12" s="21" t="s">
        <v>68</v>
      </c>
      <c r="K12" s="5">
        <v>110000</v>
      </c>
      <c r="L12" s="5">
        <f t="shared" si="0"/>
        <v>11000</v>
      </c>
      <c r="M12" s="7">
        <f t="shared" si="1"/>
        <v>121000</v>
      </c>
      <c r="N12" s="22">
        <v>10</v>
      </c>
      <c r="O12" s="23"/>
      <c r="P12" s="24"/>
      <c r="Q12" s="23"/>
      <c r="R12" s="24"/>
      <c r="S12" s="23"/>
      <c r="T12" s="24"/>
      <c r="U12" s="23"/>
      <c r="V12" s="24"/>
      <c r="W12" s="23"/>
      <c r="X12" s="24"/>
      <c r="Y12" s="23"/>
      <c r="Z12" s="24"/>
      <c r="AA12" s="23"/>
      <c r="AB12" s="24"/>
      <c r="AC12" s="23"/>
      <c r="AD12" s="24"/>
      <c r="AE12" s="47"/>
      <c r="AF12" s="48"/>
      <c r="AG12" s="47"/>
      <c r="AH12" s="48"/>
      <c r="AI12" s="23" t="s">
        <v>153</v>
      </c>
      <c r="AJ12" s="24" t="s">
        <v>165</v>
      </c>
      <c r="AK12" s="23" t="s">
        <v>154</v>
      </c>
      <c r="AL12" s="24" t="s">
        <v>144</v>
      </c>
      <c r="AM12" s="27"/>
      <c r="AN12" s="27"/>
    </row>
    <row r="13" spans="1:40" ht="33" customHeight="1" x14ac:dyDescent="0.3">
      <c r="A13" s="3"/>
      <c r="B13" s="8" t="s">
        <v>32</v>
      </c>
      <c r="C13" s="8" t="s">
        <v>80</v>
      </c>
      <c r="D13" s="28" t="s">
        <v>70</v>
      </c>
      <c r="E13" s="3" t="s">
        <v>66</v>
      </c>
      <c r="F13" s="3" t="s">
        <v>67</v>
      </c>
      <c r="G13" s="19">
        <v>10</v>
      </c>
      <c r="H13" s="29">
        <v>43444</v>
      </c>
      <c r="I13" s="29">
        <v>43830</v>
      </c>
      <c r="J13" s="21" t="s">
        <v>68</v>
      </c>
      <c r="K13" s="5">
        <v>200000</v>
      </c>
      <c r="L13" s="5">
        <f t="shared" si="0"/>
        <v>20000</v>
      </c>
      <c r="M13" s="7">
        <f t="shared" si="1"/>
        <v>220000</v>
      </c>
      <c r="N13" s="22">
        <v>10</v>
      </c>
      <c r="O13" s="23"/>
      <c r="P13" s="24"/>
      <c r="Q13" s="23"/>
      <c r="R13" s="24"/>
      <c r="S13" s="23"/>
      <c r="T13" s="24"/>
      <c r="U13" s="23"/>
      <c r="V13" s="24"/>
      <c r="W13" s="23"/>
      <c r="X13" s="24"/>
      <c r="Y13" s="23"/>
      <c r="Z13" s="24"/>
      <c r="AA13" s="23"/>
      <c r="AB13" s="24"/>
      <c r="AC13" s="23"/>
      <c r="AD13" s="24"/>
      <c r="AE13" s="47"/>
      <c r="AF13" s="48"/>
      <c r="AG13" s="47"/>
      <c r="AH13" s="48"/>
      <c r="AI13" s="47"/>
      <c r="AJ13" s="48"/>
      <c r="AK13" s="47"/>
      <c r="AL13" s="48"/>
      <c r="AM13" s="51"/>
      <c r="AN13" s="51"/>
    </row>
    <row r="14" spans="1:40" ht="33" customHeight="1" x14ac:dyDescent="0.3">
      <c r="A14" s="3">
        <v>4</v>
      </c>
      <c r="B14" s="8" t="s">
        <v>34</v>
      </c>
      <c r="C14" s="8" t="s">
        <v>81</v>
      </c>
      <c r="D14" s="28" t="s">
        <v>70</v>
      </c>
      <c r="E14" s="3">
        <v>15</v>
      </c>
      <c r="F14" s="3">
        <v>14</v>
      </c>
      <c r="G14" s="19">
        <v>15</v>
      </c>
      <c r="H14" s="20">
        <v>42915</v>
      </c>
      <c r="I14" s="20">
        <v>43644</v>
      </c>
      <c r="J14" s="21" t="s">
        <v>68</v>
      </c>
      <c r="K14" s="5">
        <v>100000</v>
      </c>
      <c r="L14" s="5">
        <f t="shared" si="0"/>
        <v>10000</v>
      </c>
      <c r="M14" s="7">
        <f t="shared" si="1"/>
        <v>110000</v>
      </c>
      <c r="N14" s="22">
        <v>15</v>
      </c>
      <c r="O14" s="23" t="s">
        <v>155</v>
      </c>
      <c r="P14" s="24" t="s">
        <v>171</v>
      </c>
      <c r="Q14" s="23" t="s">
        <v>172</v>
      </c>
      <c r="R14" s="24" t="s">
        <v>173</v>
      </c>
      <c r="S14" s="23" t="s">
        <v>174</v>
      </c>
      <c r="T14" s="24" t="s">
        <v>113</v>
      </c>
      <c r="U14" s="23" t="s">
        <v>175</v>
      </c>
      <c r="V14" s="24" t="s">
        <v>115</v>
      </c>
      <c r="W14" s="23" t="s">
        <v>166</v>
      </c>
      <c r="X14" s="24" t="s">
        <v>167</v>
      </c>
      <c r="Y14" s="23" t="s">
        <v>176</v>
      </c>
      <c r="Z14" s="24" t="s">
        <v>177</v>
      </c>
      <c r="AA14" s="23" t="s">
        <v>178</v>
      </c>
      <c r="AB14" s="24" t="s">
        <v>179</v>
      </c>
      <c r="AC14" s="23" t="s">
        <v>180</v>
      </c>
      <c r="AD14" s="24" t="s">
        <v>181</v>
      </c>
      <c r="AE14" s="23" t="s">
        <v>182</v>
      </c>
      <c r="AF14" s="24" t="s">
        <v>183</v>
      </c>
      <c r="AG14" s="23" t="s">
        <v>184</v>
      </c>
      <c r="AH14" s="24" t="s">
        <v>169</v>
      </c>
      <c r="AI14" s="23" t="s">
        <v>185</v>
      </c>
      <c r="AJ14" s="24" t="s">
        <v>186</v>
      </c>
      <c r="AK14" s="23" t="s">
        <v>187</v>
      </c>
      <c r="AL14" s="24" t="s">
        <v>188</v>
      </c>
      <c r="AM14" s="27"/>
      <c r="AN14" s="27"/>
    </row>
    <row r="15" spans="1:40" ht="33" customHeight="1" x14ac:dyDescent="0.3">
      <c r="A15" s="3">
        <v>6</v>
      </c>
      <c r="B15" s="8" t="s">
        <v>39</v>
      </c>
      <c r="C15" s="8" t="s">
        <v>82</v>
      </c>
      <c r="D15" s="28" t="s">
        <v>70</v>
      </c>
      <c r="E15" s="3" t="s">
        <v>66</v>
      </c>
      <c r="F15" s="3" t="s">
        <v>67</v>
      </c>
      <c r="G15" s="19">
        <v>31</v>
      </c>
      <c r="H15" s="20">
        <v>42913</v>
      </c>
      <c r="I15" s="20">
        <v>43277</v>
      </c>
      <c r="J15" s="21" t="s">
        <v>68</v>
      </c>
      <c r="K15" s="5">
        <v>70000</v>
      </c>
      <c r="L15" s="5">
        <f t="shared" si="0"/>
        <v>7000</v>
      </c>
      <c r="M15" s="7">
        <f t="shared" si="1"/>
        <v>77000</v>
      </c>
      <c r="N15" s="22">
        <v>15</v>
      </c>
      <c r="O15" s="23" t="s">
        <v>155</v>
      </c>
      <c r="P15" s="24" t="s">
        <v>171</v>
      </c>
      <c r="Q15" s="23" t="s">
        <v>172</v>
      </c>
      <c r="R15" s="24" t="s">
        <v>173</v>
      </c>
      <c r="S15" s="23" t="s">
        <v>174</v>
      </c>
      <c r="T15" s="24" t="s">
        <v>113</v>
      </c>
      <c r="U15" s="23" t="s">
        <v>175</v>
      </c>
      <c r="V15" s="24" t="s">
        <v>115</v>
      </c>
      <c r="W15" s="23" t="s">
        <v>166</v>
      </c>
      <c r="X15" s="24" t="s">
        <v>167</v>
      </c>
      <c r="Y15" s="23" t="s">
        <v>176</v>
      </c>
      <c r="Z15" s="24" t="s">
        <v>177</v>
      </c>
      <c r="AA15" s="23" t="s">
        <v>178</v>
      </c>
      <c r="AB15" s="24" t="s">
        <v>179</v>
      </c>
      <c r="AC15" s="23" t="s">
        <v>180</v>
      </c>
      <c r="AD15" s="24" t="s">
        <v>181</v>
      </c>
      <c r="AE15" s="23" t="s">
        <v>182</v>
      </c>
      <c r="AF15" s="24" t="s">
        <v>183</v>
      </c>
      <c r="AG15" s="23" t="s">
        <v>184</v>
      </c>
      <c r="AH15" s="24" t="s">
        <v>169</v>
      </c>
      <c r="AI15" s="23" t="s">
        <v>185</v>
      </c>
      <c r="AJ15" s="24" t="s">
        <v>186</v>
      </c>
      <c r="AK15" s="23" t="s">
        <v>187</v>
      </c>
      <c r="AL15" s="24" t="s">
        <v>188</v>
      </c>
      <c r="AM15" s="27"/>
      <c r="AN15" s="27"/>
    </row>
    <row r="16" spans="1:40" ht="33" customHeight="1" x14ac:dyDescent="0.3">
      <c r="A16" s="3">
        <v>6</v>
      </c>
      <c r="B16" s="8" t="s">
        <v>40</v>
      </c>
      <c r="C16" s="8" t="s">
        <v>83</v>
      </c>
      <c r="D16" s="28" t="s">
        <v>70</v>
      </c>
      <c r="E16" s="3" t="s">
        <v>66</v>
      </c>
      <c r="F16" s="3" t="s">
        <v>67</v>
      </c>
      <c r="G16" s="19">
        <v>31</v>
      </c>
      <c r="H16" s="20">
        <v>42901</v>
      </c>
      <c r="I16" s="30">
        <v>43630</v>
      </c>
      <c r="J16" s="21" t="s">
        <v>68</v>
      </c>
      <c r="K16" s="5">
        <v>100000</v>
      </c>
      <c r="L16" s="5">
        <f t="shared" si="0"/>
        <v>10000</v>
      </c>
      <c r="M16" s="7">
        <f t="shared" si="1"/>
        <v>110000</v>
      </c>
      <c r="N16" s="22">
        <v>15</v>
      </c>
      <c r="O16" s="23" t="s">
        <v>155</v>
      </c>
      <c r="P16" s="24" t="s">
        <v>171</v>
      </c>
      <c r="Q16" s="23" t="s">
        <v>172</v>
      </c>
      <c r="R16" s="24" t="s">
        <v>173</v>
      </c>
      <c r="S16" s="23" t="s">
        <v>174</v>
      </c>
      <c r="T16" s="24" t="s">
        <v>113</v>
      </c>
      <c r="U16" s="23" t="s">
        <v>175</v>
      </c>
      <c r="V16" s="24" t="s">
        <v>115</v>
      </c>
      <c r="W16" s="23" t="s">
        <v>166</v>
      </c>
      <c r="X16" s="24" t="s">
        <v>167</v>
      </c>
      <c r="Y16" s="23" t="s">
        <v>176</v>
      </c>
      <c r="Z16" s="24" t="s">
        <v>177</v>
      </c>
      <c r="AA16" s="23" t="s">
        <v>178</v>
      </c>
      <c r="AB16" s="24" t="s">
        <v>179</v>
      </c>
      <c r="AC16" s="23" t="s">
        <v>180</v>
      </c>
      <c r="AD16" s="24" t="s">
        <v>181</v>
      </c>
      <c r="AE16" s="23" t="s">
        <v>182</v>
      </c>
      <c r="AF16" s="24" t="s">
        <v>183</v>
      </c>
      <c r="AG16" s="23" t="s">
        <v>184</v>
      </c>
      <c r="AH16" s="24" t="s">
        <v>169</v>
      </c>
      <c r="AI16" s="23" t="s">
        <v>185</v>
      </c>
      <c r="AJ16" s="24" t="s">
        <v>186</v>
      </c>
      <c r="AK16" s="23" t="s">
        <v>187</v>
      </c>
      <c r="AL16" s="24" t="s">
        <v>188</v>
      </c>
      <c r="AM16" s="27"/>
      <c r="AN16" s="27"/>
    </row>
    <row r="17" spans="1:40" ht="33" customHeight="1" x14ac:dyDescent="0.3">
      <c r="A17" s="3">
        <v>3</v>
      </c>
      <c r="B17" s="8" t="s">
        <v>27</v>
      </c>
      <c r="C17" s="8" t="s">
        <v>84</v>
      </c>
      <c r="D17" s="28" t="s">
        <v>70</v>
      </c>
      <c r="E17" s="3" t="s">
        <v>66</v>
      </c>
      <c r="F17" s="3" t="s">
        <v>67</v>
      </c>
      <c r="G17" s="19">
        <v>10</v>
      </c>
      <c r="H17" s="20">
        <v>42956</v>
      </c>
      <c r="I17" s="20">
        <v>43320</v>
      </c>
      <c r="J17" s="21" t="s">
        <v>68</v>
      </c>
      <c r="K17" s="5">
        <v>100000</v>
      </c>
      <c r="L17" s="5">
        <f t="shared" si="0"/>
        <v>10000</v>
      </c>
      <c r="M17" s="7">
        <f t="shared" si="1"/>
        <v>110000</v>
      </c>
      <c r="N17" s="22">
        <v>15</v>
      </c>
      <c r="O17" s="23" t="s">
        <v>155</v>
      </c>
      <c r="P17" s="24" t="s">
        <v>171</v>
      </c>
      <c r="Q17" s="23" t="s">
        <v>189</v>
      </c>
      <c r="R17" s="24" t="s">
        <v>190</v>
      </c>
      <c r="S17" s="23" t="s">
        <v>174</v>
      </c>
      <c r="T17" s="24" t="s">
        <v>113</v>
      </c>
      <c r="U17" s="23" t="s">
        <v>175</v>
      </c>
      <c r="V17" s="24" t="s">
        <v>115</v>
      </c>
      <c r="W17" s="23" t="s">
        <v>166</v>
      </c>
      <c r="X17" s="24" t="s">
        <v>167</v>
      </c>
      <c r="Y17" s="23" t="s">
        <v>176</v>
      </c>
      <c r="Z17" s="24" t="s">
        <v>177</v>
      </c>
      <c r="AA17" s="23" t="s">
        <v>178</v>
      </c>
      <c r="AB17" s="24" t="s">
        <v>179</v>
      </c>
      <c r="AC17" s="23" t="s">
        <v>180</v>
      </c>
      <c r="AD17" s="24" t="s">
        <v>181</v>
      </c>
      <c r="AE17" s="23" t="s">
        <v>182</v>
      </c>
      <c r="AF17" s="24" t="s">
        <v>183</v>
      </c>
      <c r="AG17" s="23" t="s">
        <v>184</v>
      </c>
      <c r="AH17" s="24" t="s">
        <v>169</v>
      </c>
      <c r="AI17" s="23" t="s">
        <v>185</v>
      </c>
      <c r="AJ17" s="24" t="s">
        <v>186</v>
      </c>
      <c r="AK17" s="23" t="s">
        <v>187</v>
      </c>
      <c r="AL17" s="24" t="s">
        <v>188</v>
      </c>
      <c r="AM17" s="27"/>
      <c r="AN17" s="27"/>
    </row>
    <row r="18" spans="1:40" ht="33" customHeight="1" x14ac:dyDescent="0.3">
      <c r="A18" s="3"/>
      <c r="B18" s="8" t="s">
        <v>8</v>
      </c>
      <c r="C18" s="8" t="s">
        <v>85</v>
      </c>
      <c r="D18" s="32" t="s">
        <v>86</v>
      </c>
      <c r="E18" s="3"/>
      <c r="F18" s="3"/>
      <c r="G18" s="19"/>
      <c r="H18" s="20">
        <v>43193</v>
      </c>
      <c r="I18" s="20">
        <v>43557</v>
      </c>
      <c r="J18" s="20" t="s">
        <v>68</v>
      </c>
      <c r="K18" s="5">
        <v>150000</v>
      </c>
      <c r="L18" s="5">
        <f t="shared" si="0"/>
        <v>15000</v>
      </c>
      <c r="M18" s="7">
        <f t="shared" si="1"/>
        <v>165000</v>
      </c>
      <c r="N18" s="22">
        <v>15</v>
      </c>
      <c r="O18" s="47"/>
      <c r="P18" s="48"/>
      <c r="Q18" s="47"/>
      <c r="R18" s="48"/>
      <c r="S18" s="47"/>
      <c r="T18" s="48"/>
      <c r="U18" s="23" t="s">
        <v>191</v>
      </c>
      <c r="V18" s="24" t="s">
        <v>192</v>
      </c>
      <c r="W18" s="23" t="s">
        <v>167</v>
      </c>
      <c r="X18" s="24" t="s">
        <v>166</v>
      </c>
      <c r="Y18" s="23" t="s">
        <v>193</v>
      </c>
      <c r="Z18" s="24" t="s">
        <v>177</v>
      </c>
      <c r="AA18" s="23" t="s">
        <v>194</v>
      </c>
      <c r="AB18" s="24" t="s">
        <v>195</v>
      </c>
      <c r="AC18" s="23" t="s">
        <v>196</v>
      </c>
      <c r="AD18" s="24" t="s">
        <v>180</v>
      </c>
      <c r="AE18" s="23" t="s">
        <v>197</v>
      </c>
      <c r="AF18" s="24" t="s">
        <v>182</v>
      </c>
      <c r="AG18" s="23" t="s">
        <v>198</v>
      </c>
      <c r="AH18" s="24" t="s">
        <v>168</v>
      </c>
      <c r="AI18" s="23" t="s">
        <v>199</v>
      </c>
      <c r="AJ18" s="24" t="s">
        <v>165</v>
      </c>
      <c r="AK18" s="23" t="s">
        <v>200</v>
      </c>
      <c r="AL18" s="24" t="s">
        <v>201</v>
      </c>
      <c r="AM18" s="27"/>
      <c r="AN18" s="27"/>
    </row>
    <row r="19" spans="1:40" ht="33" customHeight="1" x14ac:dyDescent="0.3">
      <c r="A19" s="3">
        <v>3</v>
      </c>
      <c r="B19" s="8" t="s">
        <v>29</v>
      </c>
      <c r="C19" s="8" t="s">
        <v>87</v>
      </c>
      <c r="D19" s="28" t="s">
        <v>70</v>
      </c>
      <c r="E19" s="3" t="s">
        <v>66</v>
      </c>
      <c r="F19" s="3" t="s">
        <v>67</v>
      </c>
      <c r="G19" s="19">
        <v>10</v>
      </c>
      <c r="H19" s="20">
        <v>43207</v>
      </c>
      <c r="I19" s="20">
        <v>43571</v>
      </c>
      <c r="J19" s="20" t="s">
        <v>68</v>
      </c>
      <c r="K19" s="5">
        <v>100000</v>
      </c>
      <c r="L19" s="5">
        <f t="shared" si="0"/>
        <v>10000</v>
      </c>
      <c r="M19" s="7">
        <f t="shared" si="1"/>
        <v>110000</v>
      </c>
      <c r="N19" s="22">
        <v>15</v>
      </c>
      <c r="O19" s="47"/>
      <c r="P19" s="48"/>
      <c r="Q19" s="47"/>
      <c r="R19" s="48"/>
      <c r="S19" s="47"/>
      <c r="T19" s="48"/>
      <c r="U19" s="23" t="s">
        <v>202</v>
      </c>
      <c r="V19" s="24" t="s">
        <v>203</v>
      </c>
      <c r="W19" s="23" t="s">
        <v>117</v>
      </c>
      <c r="X19" s="24" t="s">
        <v>132</v>
      </c>
      <c r="Y19" s="23" t="s">
        <v>178</v>
      </c>
      <c r="Z19" s="24" t="s">
        <v>179</v>
      </c>
      <c r="AA19" s="23" t="s">
        <v>204</v>
      </c>
      <c r="AB19" s="24" t="s">
        <v>180</v>
      </c>
      <c r="AC19" s="49" t="s">
        <v>182</v>
      </c>
      <c r="AD19" s="50" t="s">
        <v>183</v>
      </c>
      <c r="AE19" s="23" t="s">
        <v>168</v>
      </c>
      <c r="AF19" s="24" t="s">
        <v>169</v>
      </c>
      <c r="AG19" s="23" t="s">
        <v>185</v>
      </c>
      <c r="AH19" s="24" t="s">
        <v>186</v>
      </c>
      <c r="AI19" s="23" t="s">
        <v>187</v>
      </c>
      <c r="AJ19" s="24" t="s">
        <v>188</v>
      </c>
      <c r="AK19" s="23"/>
      <c r="AL19" s="24"/>
      <c r="AM19" s="27"/>
      <c r="AN19" s="27"/>
    </row>
    <row r="20" spans="1:40" ht="33" customHeight="1" x14ac:dyDescent="0.3">
      <c r="A20" s="3">
        <v>6</v>
      </c>
      <c r="B20" s="8" t="s">
        <v>15</v>
      </c>
      <c r="C20" s="8" t="s">
        <v>88</v>
      </c>
      <c r="D20" s="28" t="s">
        <v>70</v>
      </c>
      <c r="E20" s="3" t="s">
        <v>66</v>
      </c>
      <c r="F20" s="3" t="s">
        <v>67</v>
      </c>
      <c r="G20" s="19">
        <v>5</v>
      </c>
      <c r="H20" s="20">
        <v>43191</v>
      </c>
      <c r="I20" s="20">
        <v>43555</v>
      </c>
      <c r="J20" s="21" t="s">
        <v>68</v>
      </c>
      <c r="K20" s="5">
        <v>50000</v>
      </c>
      <c r="L20" s="5">
        <f t="shared" si="0"/>
        <v>5000</v>
      </c>
      <c r="M20" s="7">
        <f t="shared" si="1"/>
        <v>55000</v>
      </c>
      <c r="N20" s="22">
        <v>20</v>
      </c>
      <c r="O20" s="47"/>
      <c r="P20" s="48"/>
      <c r="Q20" s="47"/>
      <c r="R20" s="48"/>
      <c r="S20" s="47"/>
      <c r="T20" s="48"/>
      <c r="U20" s="23" t="s">
        <v>191</v>
      </c>
      <c r="V20" s="24" t="s">
        <v>205</v>
      </c>
      <c r="W20" s="23" t="s">
        <v>206</v>
      </c>
      <c r="X20" s="24" t="s">
        <v>207</v>
      </c>
      <c r="Y20" s="23" t="s">
        <v>208</v>
      </c>
      <c r="Z20" s="24" t="s">
        <v>209</v>
      </c>
      <c r="AA20" s="23" t="s">
        <v>179</v>
      </c>
      <c r="AB20" s="24" t="s">
        <v>210</v>
      </c>
      <c r="AC20" s="23" t="s">
        <v>196</v>
      </c>
      <c r="AD20" s="24" t="s">
        <v>211</v>
      </c>
      <c r="AE20" s="23" t="s">
        <v>212</v>
      </c>
      <c r="AF20" s="24" t="s">
        <v>213</v>
      </c>
      <c r="AG20" s="23" t="s">
        <v>214</v>
      </c>
      <c r="AH20" s="24" t="s">
        <v>215</v>
      </c>
      <c r="AI20" s="23" t="s">
        <v>216</v>
      </c>
      <c r="AJ20" s="24" t="s">
        <v>216</v>
      </c>
      <c r="AK20" s="23" t="s">
        <v>201</v>
      </c>
      <c r="AL20" s="24" t="s">
        <v>217</v>
      </c>
      <c r="AM20" s="27"/>
      <c r="AN20" s="27"/>
    </row>
    <row r="21" spans="1:40" ht="33" customHeight="1" x14ac:dyDescent="0.3">
      <c r="A21" s="3">
        <v>1</v>
      </c>
      <c r="B21" s="8" t="s">
        <v>16</v>
      </c>
      <c r="C21" s="8" t="s">
        <v>89</v>
      </c>
      <c r="D21" s="28" t="s">
        <v>70</v>
      </c>
      <c r="E21" s="3" t="s">
        <v>66</v>
      </c>
      <c r="F21" s="3" t="s">
        <v>67</v>
      </c>
      <c r="G21" s="19">
        <v>5</v>
      </c>
      <c r="H21" s="20">
        <v>42948</v>
      </c>
      <c r="I21" s="30">
        <v>43677</v>
      </c>
      <c r="J21" s="21" t="s">
        <v>68</v>
      </c>
      <c r="K21" s="5">
        <v>300000</v>
      </c>
      <c r="L21" s="5">
        <f t="shared" si="0"/>
        <v>30000</v>
      </c>
      <c r="M21" s="7">
        <f t="shared" si="1"/>
        <v>330000</v>
      </c>
      <c r="N21" s="22">
        <v>20</v>
      </c>
      <c r="O21" s="23" t="s">
        <v>218</v>
      </c>
      <c r="P21" s="24" t="s">
        <v>218</v>
      </c>
      <c r="Q21" s="23" t="s">
        <v>219</v>
      </c>
      <c r="R21" s="24" t="s">
        <v>220</v>
      </c>
      <c r="S21" s="23" t="s">
        <v>113</v>
      </c>
      <c r="T21" s="24" t="s">
        <v>221</v>
      </c>
      <c r="U21" s="23" t="s">
        <v>191</v>
      </c>
      <c r="V21" s="24" t="s">
        <v>205</v>
      </c>
      <c r="W21" s="23" t="s">
        <v>206</v>
      </c>
      <c r="X21" s="24" t="s">
        <v>207</v>
      </c>
      <c r="Y21" s="23" t="s">
        <v>193</v>
      </c>
      <c r="Z21" s="24" t="s">
        <v>222</v>
      </c>
      <c r="AA21" s="23" t="s">
        <v>179</v>
      </c>
      <c r="AB21" s="24" t="s">
        <v>210</v>
      </c>
      <c r="AC21" s="23" t="s">
        <v>196</v>
      </c>
      <c r="AD21" s="24" t="s">
        <v>211</v>
      </c>
      <c r="AE21" s="23" t="s">
        <v>212</v>
      </c>
      <c r="AF21" s="24" t="s">
        <v>213</v>
      </c>
      <c r="AG21" s="23" t="s">
        <v>214</v>
      </c>
      <c r="AH21" s="24" t="s">
        <v>215</v>
      </c>
      <c r="AI21" s="23" t="s">
        <v>216</v>
      </c>
      <c r="AJ21" s="24" t="s">
        <v>216</v>
      </c>
      <c r="AK21" s="23" t="s">
        <v>201</v>
      </c>
      <c r="AL21" s="24" t="s">
        <v>217</v>
      </c>
      <c r="AM21" s="27"/>
      <c r="AN21" s="27"/>
    </row>
    <row r="22" spans="1:40" ht="33" customHeight="1" x14ac:dyDescent="0.3">
      <c r="A22" s="3">
        <v>2</v>
      </c>
      <c r="B22" s="8" t="s">
        <v>223</v>
      </c>
      <c r="C22" s="8" t="s">
        <v>224</v>
      </c>
      <c r="D22" s="28" t="s">
        <v>70</v>
      </c>
      <c r="E22" s="3">
        <v>7</v>
      </c>
      <c r="F22" s="3">
        <v>6</v>
      </c>
      <c r="G22" s="19">
        <v>6</v>
      </c>
      <c r="H22" s="20">
        <v>42717</v>
      </c>
      <c r="I22" s="20">
        <v>43446</v>
      </c>
      <c r="J22" s="52" t="s">
        <v>225</v>
      </c>
      <c r="K22" s="5">
        <v>100000</v>
      </c>
      <c r="L22" s="5">
        <f t="shared" si="0"/>
        <v>10000</v>
      </c>
      <c r="M22" s="7">
        <f t="shared" si="1"/>
        <v>110000</v>
      </c>
      <c r="N22" s="22">
        <v>20</v>
      </c>
      <c r="O22" s="23" t="s">
        <v>218</v>
      </c>
      <c r="P22" s="24" t="s">
        <v>218</v>
      </c>
      <c r="Q22" s="23" t="s">
        <v>219</v>
      </c>
      <c r="R22" s="24" t="s">
        <v>220</v>
      </c>
      <c r="S22" s="23" t="s">
        <v>113</v>
      </c>
      <c r="T22" s="24" t="s">
        <v>221</v>
      </c>
      <c r="U22" s="23" t="s">
        <v>191</v>
      </c>
      <c r="V22" s="24" t="s">
        <v>205</v>
      </c>
      <c r="W22" s="23" t="s">
        <v>206</v>
      </c>
      <c r="X22" s="24" t="s">
        <v>207</v>
      </c>
      <c r="Y22" s="23" t="s">
        <v>193</v>
      </c>
      <c r="Z22" s="24" t="s">
        <v>222</v>
      </c>
      <c r="AA22" s="23" t="s">
        <v>179</v>
      </c>
      <c r="AB22" s="24" t="s">
        <v>210</v>
      </c>
      <c r="AC22" s="23" t="s">
        <v>196</v>
      </c>
      <c r="AD22" s="24" t="s">
        <v>211</v>
      </c>
      <c r="AE22" s="23" t="s">
        <v>212</v>
      </c>
      <c r="AF22" s="24" t="s">
        <v>213</v>
      </c>
      <c r="AG22" s="23" t="s">
        <v>214</v>
      </c>
      <c r="AH22" s="24" t="s">
        <v>215</v>
      </c>
      <c r="AI22" s="47"/>
      <c r="AJ22" s="48"/>
      <c r="AK22" s="47"/>
      <c r="AL22" s="48"/>
      <c r="AM22" s="51"/>
      <c r="AN22" s="51"/>
    </row>
    <row r="23" spans="1:40" ht="33" customHeight="1" x14ac:dyDescent="0.3">
      <c r="A23" s="3">
        <v>5</v>
      </c>
      <c r="B23" s="8" t="s">
        <v>36</v>
      </c>
      <c r="C23" s="8" t="s">
        <v>90</v>
      </c>
      <c r="D23" s="28" t="s">
        <v>70</v>
      </c>
      <c r="E23" s="3">
        <v>25</v>
      </c>
      <c r="F23" s="3">
        <v>24</v>
      </c>
      <c r="G23" s="19">
        <v>25</v>
      </c>
      <c r="H23" s="20">
        <v>42985</v>
      </c>
      <c r="I23" s="20">
        <v>43714</v>
      </c>
      <c r="J23" s="21" t="s">
        <v>68</v>
      </c>
      <c r="K23" s="5">
        <v>100000</v>
      </c>
      <c r="L23" s="5">
        <f t="shared" si="0"/>
        <v>10000</v>
      </c>
      <c r="M23" s="7">
        <f t="shared" si="1"/>
        <v>110000</v>
      </c>
      <c r="N23" s="22">
        <v>20</v>
      </c>
      <c r="O23" s="23" t="s">
        <v>218</v>
      </c>
      <c r="P23" s="24" t="s">
        <v>218</v>
      </c>
      <c r="Q23" s="23" t="s">
        <v>219</v>
      </c>
      <c r="R23" s="24" t="s">
        <v>220</v>
      </c>
      <c r="S23" s="23" t="s">
        <v>113</v>
      </c>
      <c r="T23" s="24" t="s">
        <v>221</v>
      </c>
      <c r="U23" s="23" t="s">
        <v>191</v>
      </c>
      <c r="V23" s="24" t="s">
        <v>205</v>
      </c>
      <c r="W23" s="23" t="s">
        <v>206</v>
      </c>
      <c r="X23" s="24" t="s">
        <v>207</v>
      </c>
      <c r="Y23" s="23" t="s">
        <v>193</v>
      </c>
      <c r="Z23" s="24" t="s">
        <v>222</v>
      </c>
      <c r="AA23" s="23" t="s">
        <v>179</v>
      </c>
      <c r="AB23" s="24" t="s">
        <v>210</v>
      </c>
      <c r="AC23" s="23" t="s">
        <v>196</v>
      </c>
      <c r="AD23" s="24" t="s">
        <v>211</v>
      </c>
      <c r="AE23" s="23" t="s">
        <v>212</v>
      </c>
      <c r="AF23" s="24" t="s">
        <v>213</v>
      </c>
      <c r="AG23" s="23" t="s">
        <v>214</v>
      </c>
      <c r="AH23" s="24" t="s">
        <v>215</v>
      </c>
      <c r="AI23" s="23" t="s">
        <v>216</v>
      </c>
      <c r="AJ23" s="24" t="s">
        <v>216</v>
      </c>
      <c r="AK23" s="23" t="s">
        <v>201</v>
      </c>
      <c r="AL23" s="24" t="s">
        <v>217</v>
      </c>
      <c r="AM23" s="27"/>
      <c r="AN23" s="27"/>
    </row>
    <row r="24" spans="1:40" ht="33" customHeight="1" x14ac:dyDescent="0.3">
      <c r="A24" s="3">
        <v>6</v>
      </c>
      <c r="B24" s="8" t="s">
        <v>41</v>
      </c>
      <c r="C24" s="8" t="s">
        <v>91</v>
      </c>
      <c r="D24" s="28" t="s">
        <v>70</v>
      </c>
      <c r="E24" s="3" t="s">
        <v>66</v>
      </c>
      <c r="F24" s="3" t="s">
        <v>67</v>
      </c>
      <c r="G24" s="19">
        <v>31</v>
      </c>
      <c r="H24" s="20">
        <v>42736</v>
      </c>
      <c r="I24" s="20">
        <v>43100</v>
      </c>
      <c r="J24" s="21" t="s">
        <v>68</v>
      </c>
      <c r="K24" s="5">
        <v>70000</v>
      </c>
      <c r="L24" s="5">
        <f t="shared" si="0"/>
        <v>7000</v>
      </c>
      <c r="M24" s="7">
        <f t="shared" si="1"/>
        <v>77000</v>
      </c>
      <c r="N24" s="22">
        <v>20</v>
      </c>
      <c r="O24" s="23" t="s">
        <v>226</v>
      </c>
      <c r="P24" s="24" t="s">
        <v>112</v>
      </c>
      <c r="Q24" s="23" t="s">
        <v>219</v>
      </c>
      <c r="R24" s="24" t="s">
        <v>220</v>
      </c>
      <c r="S24" s="23" t="s">
        <v>113</v>
      </c>
      <c r="T24" s="24" t="s">
        <v>221</v>
      </c>
      <c r="U24" s="23" t="s">
        <v>191</v>
      </c>
      <c r="V24" s="24" t="s">
        <v>205</v>
      </c>
      <c r="W24" s="23" t="s">
        <v>206</v>
      </c>
      <c r="X24" s="24" t="s">
        <v>207</v>
      </c>
      <c r="Y24" s="23" t="s">
        <v>193</v>
      </c>
      <c r="Z24" s="24" t="s">
        <v>222</v>
      </c>
      <c r="AA24" s="23" t="s">
        <v>179</v>
      </c>
      <c r="AB24" s="24" t="s">
        <v>210</v>
      </c>
      <c r="AC24" s="23" t="s">
        <v>196</v>
      </c>
      <c r="AD24" s="24" t="s">
        <v>211</v>
      </c>
      <c r="AE24" s="23" t="s">
        <v>212</v>
      </c>
      <c r="AF24" s="24" t="s">
        <v>213</v>
      </c>
      <c r="AG24" s="23" t="s">
        <v>214</v>
      </c>
      <c r="AH24" s="24" t="s">
        <v>215</v>
      </c>
      <c r="AI24" s="23" t="s">
        <v>216</v>
      </c>
      <c r="AJ24" s="24" t="s">
        <v>216</v>
      </c>
      <c r="AK24" s="23" t="s">
        <v>201</v>
      </c>
      <c r="AL24" s="24" t="s">
        <v>217</v>
      </c>
      <c r="AM24" s="27"/>
      <c r="AN24" s="27"/>
    </row>
    <row r="25" spans="1:40" ht="33" customHeight="1" x14ac:dyDescent="0.3">
      <c r="A25" s="3">
        <v>6</v>
      </c>
      <c r="B25" s="8" t="s">
        <v>42</v>
      </c>
      <c r="C25" s="8" t="s">
        <v>92</v>
      </c>
      <c r="D25" s="28" t="s">
        <v>70</v>
      </c>
      <c r="E25" s="3" t="s">
        <v>66</v>
      </c>
      <c r="F25" s="3" t="s">
        <v>67</v>
      </c>
      <c r="G25" s="19">
        <v>31</v>
      </c>
      <c r="H25" s="20">
        <v>42950</v>
      </c>
      <c r="I25" s="20">
        <v>43314</v>
      </c>
      <c r="J25" s="21" t="s">
        <v>68</v>
      </c>
      <c r="K25" s="5">
        <v>100000</v>
      </c>
      <c r="L25" s="5">
        <f t="shared" si="0"/>
        <v>10000</v>
      </c>
      <c r="M25" s="7">
        <f t="shared" si="1"/>
        <v>110000</v>
      </c>
      <c r="N25" s="22">
        <v>20</v>
      </c>
      <c r="O25" s="23" t="s">
        <v>218</v>
      </c>
      <c r="P25" s="24" t="s">
        <v>218</v>
      </c>
      <c r="Q25" s="23" t="s">
        <v>219</v>
      </c>
      <c r="R25" s="24" t="s">
        <v>220</v>
      </c>
      <c r="S25" s="23" t="s">
        <v>113</v>
      </c>
      <c r="T25" s="24" t="s">
        <v>221</v>
      </c>
      <c r="U25" s="23" t="s">
        <v>191</v>
      </c>
      <c r="V25" s="24" t="s">
        <v>205</v>
      </c>
      <c r="W25" s="23" t="s">
        <v>206</v>
      </c>
      <c r="X25" s="24" t="s">
        <v>207</v>
      </c>
      <c r="Y25" s="23" t="s">
        <v>193</v>
      </c>
      <c r="Z25" s="24" t="s">
        <v>222</v>
      </c>
      <c r="AA25" s="23" t="s">
        <v>179</v>
      </c>
      <c r="AB25" s="24" t="s">
        <v>210</v>
      </c>
      <c r="AC25" s="23" t="s">
        <v>196</v>
      </c>
      <c r="AD25" s="24" t="s">
        <v>211</v>
      </c>
      <c r="AE25" s="23" t="s">
        <v>212</v>
      </c>
      <c r="AF25" s="24" t="s">
        <v>213</v>
      </c>
      <c r="AG25" s="23" t="s">
        <v>214</v>
      </c>
      <c r="AH25" s="24" t="s">
        <v>215</v>
      </c>
      <c r="AI25" s="23" t="s">
        <v>216</v>
      </c>
      <c r="AJ25" s="24" t="s">
        <v>216</v>
      </c>
      <c r="AK25" s="23" t="s">
        <v>201</v>
      </c>
      <c r="AL25" s="24" t="s">
        <v>217</v>
      </c>
      <c r="AM25" s="27"/>
      <c r="AN25" s="27"/>
    </row>
    <row r="26" spans="1:40" ht="33" customHeight="1" x14ac:dyDescent="0.3">
      <c r="A26" s="3"/>
      <c r="B26" s="8" t="s">
        <v>31</v>
      </c>
      <c r="C26" s="8" t="s">
        <v>93</v>
      </c>
      <c r="D26" s="28" t="s">
        <v>70</v>
      </c>
      <c r="E26" s="3" t="s">
        <v>66</v>
      </c>
      <c r="F26" s="3" t="s">
        <v>67</v>
      </c>
      <c r="G26" s="19">
        <v>10</v>
      </c>
      <c r="H26" s="29">
        <v>43388</v>
      </c>
      <c r="I26" s="29">
        <v>43752</v>
      </c>
      <c r="J26" s="21" t="s">
        <v>68</v>
      </c>
      <c r="K26" s="5">
        <v>100000</v>
      </c>
      <c r="L26" s="5">
        <f t="shared" si="0"/>
        <v>10000</v>
      </c>
      <c r="M26" s="7">
        <f t="shared" si="1"/>
        <v>110000</v>
      </c>
      <c r="N26" s="22">
        <v>20</v>
      </c>
      <c r="O26" s="47"/>
      <c r="P26" s="48"/>
      <c r="Q26" s="47"/>
      <c r="R26" s="48"/>
      <c r="S26" s="47"/>
      <c r="T26" s="48"/>
      <c r="U26" s="47"/>
      <c r="V26" s="48"/>
      <c r="W26" s="47"/>
      <c r="X26" s="48"/>
      <c r="Y26" s="47"/>
      <c r="Z26" s="48"/>
      <c r="AA26" s="47"/>
      <c r="AB26" s="48"/>
      <c r="AC26" s="47"/>
      <c r="AD26" s="48"/>
      <c r="AE26" s="47"/>
      <c r="AF26" s="48"/>
      <c r="AG26" s="47"/>
      <c r="AH26" s="48"/>
      <c r="AI26" s="23" t="s">
        <v>216</v>
      </c>
      <c r="AJ26" s="24" t="s">
        <v>216</v>
      </c>
      <c r="AK26" s="23" t="s">
        <v>201</v>
      </c>
      <c r="AL26" s="24" t="s">
        <v>217</v>
      </c>
      <c r="AM26" s="27"/>
      <c r="AN26" s="27"/>
    </row>
    <row r="27" spans="1:40" ht="33" customHeight="1" x14ac:dyDescent="0.3">
      <c r="A27" s="3">
        <v>1</v>
      </c>
      <c r="B27" s="8" t="s">
        <v>17</v>
      </c>
      <c r="C27" s="8" t="s">
        <v>94</v>
      </c>
      <c r="D27" s="28" t="s">
        <v>70</v>
      </c>
      <c r="E27" s="3" t="s">
        <v>66</v>
      </c>
      <c r="F27" s="3" t="s">
        <v>67</v>
      </c>
      <c r="G27" s="19">
        <v>5</v>
      </c>
      <c r="H27" s="20">
        <v>43004</v>
      </c>
      <c r="I27" s="30">
        <v>43733</v>
      </c>
      <c r="J27" s="21" t="s">
        <v>68</v>
      </c>
      <c r="K27" s="5">
        <v>250000</v>
      </c>
      <c r="L27" s="5">
        <f t="shared" si="0"/>
        <v>25000</v>
      </c>
      <c r="M27" s="7">
        <f t="shared" si="1"/>
        <v>275000</v>
      </c>
      <c r="N27" s="22">
        <v>25</v>
      </c>
      <c r="O27" s="23" t="s">
        <v>227</v>
      </c>
      <c r="P27" s="24" t="s">
        <v>227</v>
      </c>
      <c r="Q27" s="23" t="s">
        <v>189</v>
      </c>
      <c r="R27" s="24" t="s">
        <v>190</v>
      </c>
      <c r="S27" s="23" t="s">
        <v>228</v>
      </c>
      <c r="T27" s="24" t="s">
        <v>229</v>
      </c>
      <c r="U27" s="23" t="s">
        <v>230</v>
      </c>
      <c r="V27" s="24" t="s">
        <v>202</v>
      </c>
      <c r="W27" s="23" t="s">
        <v>231</v>
      </c>
      <c r="X27" s="24" t="s">
        <v>231</v>
      </c>
      <c r="Y27" s="23" t="s">
        <v>208</v>
      </c>
      <c r="Z27" s="24" t="s">
        <v>209</v>
      </c>
      <c r="AA27" s="23" t="s">
        <v>194</v>
      </c>
      <c r="AB27" s="24" t="s">
        <v>232</v>
      </c>
      <c r="AC27" s="23" t="s">
        <v>233</v>
      </c>
      <c r="AD27" s="24" t="s">
        <v>234</v>
      </c>
      <c r="AE27" s="23" t="s">
        <v>213</v>
      </c>
      <c r="AF27" s="24" t="s">
        <v>235</v>
      </c>
      <c r="AG27" s="49" t="s">
        <v>198</v>
      </c>
      <c r="AH27" s="24" t="s">
        <v>236</v>
      </c>
      <c r="AI27" s="23" t="s">
        <v>237</v>
      </c>
      <c r="AJ27" s="24" t="s">
        <v>238</v>
      </c>
      <c r="AK27" s="23" t="s">
        <v>239</v>
      </c>
      <c r="AL27" s="24" t="s">
        <v>240</v>
      </c>
      <c r="AM27" s="27"/>
      <c r="AN27" s="27"/>
    </row>
    <row r="28" spans="1:40" ht="33" customHeight="1" x14ac:dyDescent="0.3">
      <c r="A28" s="3">
        <v>3</v>
      </c>
      <c r="B28" s="8" t="s">
        <v>241</v>
      </c>
      <c r="C28" s="8" t="s">
        <v>242</v>
      </c>
      <c r="D28" s="28" t="s">
        <v>70</v>
      </c>
      <c r="E28" s="3">
        <v>10</v>
      </c>
      <c r="F28" s="3">
        <v>9</v>
      </c>
      <c r="G28" s="19">
        <v>10</v>
      </c>
      <c r="H28" s="20">
        <v>42592</v>
      </c>
      <c r="I28" s="30">
        <v>42956</v>
      </c>
      <c r="J28" s="52" t="s">
        <v>225</v>
      </c>
      <c r="K28" s="5"/>
      <c r="L28" s="5"/>
      <c r="M28" s="7">
        <f t="shared" si="1"/>
        <v>0</v>
      </c>
      <c r="N28" s="22">
        <v>25</v>
      </c>
      <c r="O28" s="23" t="s">
        <v>227</v>
      </c>
      <c r="P28" s="24" t="s">
        <v>227</v>
      </c>
      <c r="Q28" s="23" t="s">
        <v>189</v>
      </c>
      <c r="R28" s="24" t="s">
        <v>190</v>
      </c>
      <c r="S28" s="23" t="s">
        <v>228</v>
      </c>
      <c r="T28" s="24" t="s">
        <v>229</v>
      </c>
      <c r="U28" s="23" t="s">
        <v>230</v>
      </c>
      <c r="V28" s="24" t="s">
        <v>202</v>
      </c>
      <c r="W28" s="23" t="s">
        <v>231</v>
      </c>
      <c r="X28" s="24" t="s">
        <v>231</v>
      </c>
      <c r="Y28" s="23" t="s">
        <v>208</v>
      </c>
      <c r="Z28" s="24" t="s">
        <v>209</v>
      </c>
      <c r="AA28" s="23" t="s">
        <v>194</v>
      </c>
      <c r="AB28" s="24" t="s">
        <v>232</v>
      </c>
      <c r="AC28" s="47"/>
      <c r="AD28" s="48"/>
      <c r="AE28" s="47"/>
      <c r="AF28" s="48"/>
      <c r="AG28" s="47"/>
      <c r="AH28" s="48"/>
      <c r="AI28" s="47"/>
      <c r="AJ28" s="48"/>
      <c r="AK28" s="47"/>
      <c r="AL28" s="48"/>
      <c r="AM28" s="51"/>
      <c r="AN28" s="51"/>
    </row>
    <row r="29" spans="1:40" ht="33" customHeight="1" x14ac:dyDescent="0.3">
      <c r="A29" s="3">
        <v>0</v>
      </c>
      <c r="B29" s="8" t="s">
        <v>28</v>
      </c>
      <c r="C29" s="3" t="s">
        <v>95</v>
      </c>
      <c r="D29" s="32" t="s">
        <v>86</v>
      </c>
      <c r="E29" s="3" t="s">
        <v>66</v>
      </c>
      <c r="F29" s="3" t="s">
        <v>67</v>
      </c>
      <c r="G29" s="19">
        <v>10</v>
      </c>
      <c r="H29" s="20">
        <v>43033</v>
      </c>
      <c r="I29" s="20">
        <v>43397</v>
      </c>
      <c r="J29" s="21" t="s">
        <v>68</v>
      </c>
      <c r="K29" s="5">
        <v>150000</v>
      </c>
      <c r="L29" s="5">
        <f t="shared" ref="L29:L32" si="2">ROUNDDOWN(K29*10%,1)</f>
        <v>15000</v>
      </c>
      <c r="M29" s="7">
        <f t="shared" si="1"/>
        <v>165000</v>
      </c>
      <c r="N29" s="22">
        <v>25</v>
      </c>
      <c r="O29" s="23" t="s">
        <v>243</v>
      </c>
      <c r="P29" s="24" t="s">
        <v>244</v>
      </c>
      <c r="Q29" s="23" t="s">
        <v>245</v>
      </c>
      <c r="R29" s="24" t="s">
        <v>246</v>
      </c>
      <c r="S29" s="23" t="s">
        <v>247</v>
      </c>
      <c r="T29" s="24" t="s">
        <v>248</v>
      </c>
      <c r="U29" s="23" t="s">
        <v>249</v>
      </c>
      <c r="V29" s="24" t="s">
        <v>205</v>
      </c>
      <c r="W29" s="23" t="s">
        <v>250</v>
      </c>
      <c r="X29" s="24" t="s">
        <v>251</v>
      </c>
      <c r="Y29" s="23" t="s">
        <v>208</v>
      </c>
      <c r="Z29" s="24" t="s">
        <v>222</v>
      </c>
      <c r="AA29" s="23" t="s">
        <v>252</v>
      </c>
      <c r="AB29" s="24" t="s">
        <v>194</v>
      </c>
      <c r="AC29" s="23" t="s">
        <v>234</v>
      </c>
      <c r="AD29" s="24" t="s">
        <v>233</v>
      </c>
      <c r="AE29" s="23" t="s">
        <v>139</v>
      </c>
      <c r="AF29" s="24" t="s">
        <v>213</v>
      </c>
      <c r="AG29" s="23" t="s">
        <v>122</v>
      </c>
      <c r="AH29" s="24" t="s">
        <v>198</v>
      </c>
      <c r="AI29" s="23" t="s">
        <v>253</v>
      </c>
      <c r="AJ29" s="24" t="s">
        <v>254</v>
      </c>
      <c r="AK29" s="58" t="s">
        <v>323</v>
      </c>
      <c r="AL29" s="24" t="s">
        <v>200</v>
      </c>
      <c r="AM29" s="27"/>
      <c r="AN29" s="27"/>
    </row>
    <row r="30" spans="1:40" ht="33" customHeight="1" x14ac:dyDescent="0.3">
      <c r="A30" s="3">
        <v>5</v>
      </c>
      <c r="B30" s="8" t="s">
        <v>37</v>
      </c>
      <c r="C30" s="8" t="s">
        <v>96</v>
      </c>
      <c r="D30" s="18" t="s">
        <v>65</v>
      </c>
      <c r="E30" s="3">
        <v>26</v>
      </c>
      <c r="F30" s="3">
        <v>25</v>
      </c>
      <c r="G30" s="19">
        <v>25</v>
      </c>
      <c r="H30" s="20">
        <v>42522</v>
      </c>
      <c r="I30" s="20">
        <v>42886</v>
      </c>
      <c r="J30" s="21" t="s">
        <v>68</v>
      </c>
      <c r="K30" s="5">
        <v>50000</v>
      </c>
      <c r="L30" s="5">
        <f t="shared" si="2"/>
        <v>5000</v>
      </c>
      <c r="M30" s="7">
        <f t="shared" si="1"/>
        <v>55000</v>
      </c>
      <c r="N30" s="22">
        <v>25</v>
      </c>
      <c r="O30" s="23" t="s">
        <v>227</v>
      </c>
      <c r="P30" s="24" t="s">
        <v>255</v>
      </c>
      <c r="Q30" s="23" t="s">
        <v>256</v>
      </c>
      <c r="R30" s="24" t="s">
        <v>190</v>
      </c>
      <c r="S30" s="23" t="s">
        <v>257</v>
      </c>
      <c r="T30" s="24" t="s">
        <v>229</v>
      </c>
      <c r="U30" s="23" t="s">
        <v>230</v>
      </c>
      <c r="V30" s="24" t="s">
        <v>230</v>
      </c>
      <c r="W30" s="23" t="s">
        <v>251</v>
      </c>
      <c r="X30" s="24" t="s">
        <v>258</v>
      </c>
      <c r="Y30" s="23" t="s">
        <v>259</v>
      </c>
      <c r="Z30" s="24" t="s">
        <v>260</v>
      </c>
      <c r="AA30" s="23" t="s">
        <v>261</v>
      </c>
      <c r="AB30" s="24" t="s">
        <v>261</v>
      </c>
      <c r="AC30" s="23" t="s">
        <v>262</v>
      </c>
      <c r="AD30" s="24" t="s">
        <v>233</v>
      </c>
      <c r="AE30" s="23" t="s">
        <v>263</v>
      </c>
      <c r="AF30" s="24" t="s">
        <v>235</v>
      </c>
      <c r="AG30" s="23" t="s">
        <v>123</v>
      </c>
      <c r="AH30" s="24" t="s">
        <v>141</v>
      </c>
      <c r="AI30" s="23" t="s">
        <v>264</v>
      </c>
      <c r="AJ30" s="24" t="s">
        <v>254</v>
      </c>
      <c r="AK30" s="23"/>
      <c r="AL30" s="24"/>
      <c r="AM30" s="27"/>
      <c r="AN30" s="27"/>
    </row>
    <row r="31" spans="1:40" ht="33" customHeight="1" x14ac:dyDescent="0.3">
      <c r="A31" s="3">
        <v>5</v>
      </c>
      <c r="B31" s="33" t="s">
        <v>38</v>
      </c>
      <c r="C31" s="8" t="s">
        <v>97</v>
      </c>
      <c r="D31" s="18" t="s">
        <v>65</v>
      </c>
      <c r="E31" s="3" t="s">
        <v>66</v>
      </c>
      <c r="F31" s="3" t="s">
        <v>67</v>
      </c>
      <c r="G31" s="19">
        <v>25</v>
      </c>
      <c r="H31" s="20"/>
      <c r="I31" s="20"/>
      <c r="J31" s="21" t="s">
        <v>68</v>
      </c>
      <c r="K31" s="5">
        <v>100000</v>
      </c>
      <c r="L31" s="5">
        <f t="shared" si="2"/>
        <v>10000</v>
      </c>
      <c r="M31" s="7">
        <f t="shared" si="1"/>
        <v>110000</v>
      </c>
      <c r="N31" s="22">
        <v>25</v>
      </c>
      <c r="O31" s="23" t="s">
        <v>265</v>
      </c>
      <c r="P31" s="24" t="s">
        <v>265</v>
      </c>
      <c r="Q31" s="23" t="s">
        <v>266</v>
      </c>
      <c r="R31" s="24" t="s">
        <v>190</v>
      </c>
      <c r="S31" s="23" t="s">
        <v>267</v>
      </c>
      <c r="T31" s="24" t="s">
        <v>267</v>
      </c>
      <c r="U31" s="23" t="s">
        <v>268</v>
      </c>
      <c r="V31" s="24" t="s">
        <v>202</v>
      </c>
      <c r="W31" s="23" t="s">
        <v>258</v>
      </c>
      <c r="X31" s="24" t="s">
        <v>231</v>
      </c>
      <c r="Y31" s="23" t="s">
        <v>222</v>
      </c>
      <c r="Z31" s="24" t="s">
        <v>222</v>
      </c>
      <c r="AA31" s="23" t="s">
        <v>194</v>
      </c>
      <c r="AB31" s="24" t="s">
        <v>194</v>
      </c>
      <c r="AC31" s="23" t="s">
        <v>233</v>
      </c>
      <c r="AD31" s="24" t="s">
        <v>233</v>
      </c>
      <c r="AE31" s="23" t="s">
        <v>212</v>
      </c>
      <c r="AF31" s="24" t="s">
        <v>212</v>
      </c>
      <c r="AG31" s="23" t="s">
        <v>269</v>
      </c>
      <c r="AH31" s="24" t="s">
        <v>269</v>
      </c>
      <c r="AI31" s="23" t="s">
        <v>237</v>
      </c>
      <c r="AJ31" s="24" t="s">
        <v>254</v>
      </c>
      <c r="AK31" s="23" t="s">
        <v>217</v>
      </c>
      <c r="AL31" s="24" t="s">
        <v>217</v>
      </c>
      <c r="AM31" s="27"/>
      <c r="AN31" s="27"/>
    </row>
    <row r="32" spans="1:40" ht="33" customHeight="1" x14ac:dyDescent="0.3">
      <c r="A32" s="3">
        <v>6</v>
      </c>
      <c r="B32" s="8" t="s">
        <v>43</v>
      </c>
      <c r="C32" s="34" t="s">
        <v>98</v>
      </c>
      <c r="D32" s="28" t="s">
        <v>70</v>
      </c>
      <c r="E32" s="3" t="s">
        <v>66</v>
      </c>
      <c r="F32" s="3" t="s">
        <v>67</v>
      </c>
      <c r="G32" s="19">
        <v>31</v>
      </c>
      <c r="H32" s="20">
        <v>42913</v>
      </c>
      <c r="I32" s="20">
        <v>43277</v>
      </c>
      <c r="J32" s="21" t="s">
        <v>68</v>
      </c>
      <c r="K32" s="5">
        <v>100000</v>
      </c>
      <c r="L32" s="5">
        <f t="shared" si="2"/>
        <v>10000</v>
      </c>
      <c r="M32" s="7">
        <f t="shared" si="1"/>
        <v>110000</v>
      </c>
      <c r="N32" s="22">
        <v>25</v>
      </c>
      <c r="O32" s="23" t="s">
        <v>227</v>
      </c>
      <c r="P32" s="24" t="s">
        <v>227</v>
      </c>
      <c r="Q32" s="23" t="s">
        <v>189</v>
      </c>
      <c r="R32" s="24" t="s">
        <v>190</v>
      </c>
      <c r="S32" s="23" t="s">
        <v>228</v>
      </c>
      <c r="T32" s="24" t="s">
        <v>229</v>
      </c>
      <c r="U32" s="23" t="s">
        <v>230</v>
      </c>
      <c r="V32" s="24" t="s">
        <v>202</v>
      </c>
      <c r="W32" s="23" t="s">
        <v>231</v>
      </c>
      <c r="X32" s="24" t="s">
        <v>231</v>
      </c>
      <c r="Y32" s="23" t="s">
        <v>270</v>
      </c>
      <c r="Z32" s="24" t="s">
        <v>271</v>
      </c>
      <c r="AA32" s="23" t="s">
        <v>194</v>
      </c>
      <c r="AB32" s="24" t="s">
        <v>232</v>
      </c>
      <c r="AC32" s="23" t="s">
        <v>233</v>
      </c>
      <c r="AD32" s="24" t="s">
        <v>234</v>
      </c>
      <c r="AE32" s="23" t="s">
        <v>213</v>
      </c>
      <c r="AF32" s="24" t="s">
        <v>235</v>
      </c>
      <c r="AG32" s="23" t="s">
        <v>198</v>
      </c>
      <c r="AH32" s="24" t="s">
        <v>236</v>
      </c>
      <c r="AI32" s="23" t="s">
        <v>237</v>
      </c>
      <c r="AJ32" s="24" t="s">
        <v>238</v>
      </c>
      <c r="AK32" s="23" t="s">
        <v>239</v>
      </c>
      <c r="AL32" s="24" t="s">
        <v>240</v>
      </c>
      <c r="AM32" s="27"/>
      <c r="AN32" s="27"/>
    </row>
    <row r="33" spans="1:40" ht="33" customHeight="1" x14ac:dyDescent="0.3">
      <c r="A33" s="3">
        <v>0</v>
      </c>
      <c r="B33" s="8" t="s">
        <v>9</v>
      </c>
      <c r="C33" s="8"/>
      <c r="D33" s="18" t="s">
        <v>65</v>
      </c>
      <c r="E33" s="3"/>
      <c r="F33" s="3"/>
      <c r="G33" s="19"/>
      <c r="H33" s="20">
        <v>42583</v>
      </c>
      <c r="I33" s="20">
        <v>43312</v>
      </c>
      <c r="J33" s="21" t="s">
        <v>68</v>
      </c>
      <c r="K33" s="5">
        <v>100000</v>
      </c>
      <c r="L33" s="35"/>
      <c r="M33" s="7">
        <f t="shared" si="1"/>
        <v>100000</v>
      </c>
      <c r="N33" s="22">
        <v>25</v>
      </c>
      <c r="O33" s="23"/>
      <c r="P33" s="24"/>
      <c r="Q33" s="23"/>
      <c r="R33" s="24"/>
      <c r="S33" s="23"/>
      <c r="T33" s="24"/>
      <c r="U33" s="23"/>
      <c r="V33" s="24"/>
      <c r="W33" s="23"/>
      <c r="X33" s="24"/>
      <c r="Y33" s="23"/>
      <c r="Z33" s="24"/>
      <c r="AA33" s="23"/>
      <c r="AB33" s="24"/>
      <c r="AC33" s="23"/>
      <c r="AD33" s="24"/>
      <c r="AE33" s="23"/>
      <c r="AF33" s="24"/>
      <c r="AG33" s="23"/>
      <c r="AH33" s="24"/>
      <c r="AI33" s="23"/>
      <c r="AJ33" s="24"/>
      <c r="AK33" s="23"/>
      <c r="AL33" s="24"/>
      <c r="AM33" s="27"/>
      <c r="AN33" s="27"/>
    </row>
    <row r="34" spans="1:40" ht="33" customHeight="1" x14ac:dyDescent="0.3">
      <c r="A34" s="3">
        <v>0</v>
      </c>
      <c r="B34" s="8" t="s">
        <v>10</v>
      </c>
      <c r="C34" s="8" t="s">
        <v>99</v>
      </c>
      <c r="D34" s="32" t="s">
        <v>86</v>
      </c>
      <c r="E34" s="3"/>
      <c r="F34" s="3"/>
      <c r="G34" s="19"/>
      <c r="H34" s="20">
        <v>42644</v>
      </c>
      <c r="I34" s="20">
        <v>43100</v>
      </c>
      <c r="J34" s="21" t="s">
        <v>68</v>
      </c>
      <c r="K34" s="5">
        <v>120000</v>
      </c>
      <c r="L34" s="5">
        <f t="shared" ref="L34:L43" si="3">ROUNDDOWN(K34*10%,1)</f>
        <v>12000</v>
      </c>
      <c r="M34" s="7">
        <f t="shared" si="1"/>
        <v>132000</v>
      </c>
      <c r="N34" s="22">
        <v>25</v>
      </c>
      <c r="O34" s="23" t="s">
        <v>272</v>
      </c>
      <c r="P34" s="24" t="s">
        <v>273</v>
      </c>
      <c r="Q34" s="23" t="s">
        <v>274</v>
      </c>
      <c r="R34" s="24" t="s">
        <v>190</v>
      </c>
      <c r="S34" s="23" t="s">
        <v>275</v>
      </c>
      <c r="T34" s="24" t="s">
        <v>275</v>
      </c>
      <c r="U34" s="23" t="s">
        <v>276</v>
      </c>
      <c r="V34" s="24" t="s">
        <v>203</v>
      </c>
      <c r="W34" s="23" t="s">
        <v>277</v>
      </c>
      <c r="X34" s="24" t="s">
        <v>259</v>
      </c>
      <c r="Y34" s="23" t="s">
        <v>277</v>
      </c>
      <c r="Z34" s="24" t="s">
        <v>259</v>
      </c>
      <c r="AA34" s="23" t="s">
        <v>261</v>
      </c>
      <c r="AB34" s="24" t="s">
        <v>194</v>
      </c>
      <c r="AC34" s="23" t="s">
        <v>278</v>
      </c>
      <c r="AD34" s="24" t="s">
        <v>233</v>
      </c>
      <c r="AE34" s="23" t="s">
        <v>263</v>
      </c>
      <c r="AF34" s="24" t="s">
        <v>213</v>
      </c>
      <c r="AG34" s="23" t="s">
        <v>279</v>
      </c>
      <c r="AH34" s="24" t="s">
        <v>198</v>
      </c>
      <c r="AI34" s="23" t="s">
        <v>280</v>
      </c>
      <c r="AJ34" s="24" t="s">
        <v>254</v>
      </c>
      <c r="AK34" s="23" t="s">
        <v>281</v>
      </c>
      <c r="AL34" s="24" t="s">
        <v>200</v>
      </c>
      <c r="AM34" s="27"/>
      <c r="AN34" s="27"/>
    </row>
    <row r="35" spans="1:40" ht="33" customHeight="1" x14ac:dyDescent="0.3">
      <c r="A35" s="3">
        <v>1</v>
      </c>
      <c r="B35" s="8" t="s">
        <v>18</v>
      </c>
      <c r="C35" s="8" t="s">
        <v>100</v>
      </c>
      <c r="D35" s="28" t="s">
        <v>70</v>
      </c>
      <c r="E35" s="3" t="s">
        <v>66</v>
      </c>
      <c r="F35" s="3" t="s">
        <v>67</v>
      </c>
      <c r="G35" s="19">
        <v>5</v>
      </c>
      <c r="H35" s="20">
        <v>42819</v>
      </c>
      <c r="I35" s="20">
        <v>43183</v>
      </c>
      <c r="J35" s="21" t="s">
        <v>68</v>
      </c>
      <c r="K35" s="5">
        <v>100000</v>
      </c>
      <c r="L35" s="5">
        <f t="shared" si="3"/>
        <v>10000</v>
      </c>
      <c r="M35" s="7">
        <f t="shared" si="1"/>
        <v>110000</v>
      </c>
      <c r="N35" s="22">
        <v>30</v>
      </c>
      <c r="O35" s="23" t="s">
        <v>282</v>
      </c>
      <c r="P35" s="24" t="s">
        <v>273</v>
      </c>
      <c r="Q35" s="23" t="s">
        <v>274</v>
      </c>
      <c r="R35" s="24" t="s">
        <v>190</v>
      </c>
      <c r="S35" s="23" t="s">
        <v>283</v>
      </c>
      <c r="T35" s="24" t="s">
        <v>275</v>
      </c>
      <c r="U35" s="23" t="s">
        <v>202</v>
      </c>
      <c r="V35" s="24" t="s">
        <v>203</v>
      </c>
      <c r="W35" s="23" t="s">
        <v>258</v>
      </c>
      <c r="X35" s="24" t="s">
        <v>284</v>
      </c>
      <c r="Y35" s="23" t="s">
        <v>270</v>
      </c>
      <c r="Z35" s="24" t="s">
        <v>271</v>
      </c>
      <c r="AA35" s="23" t="s">
        <v>232</v>
      </c>
      <c r="AB35" s="24" t="s">
        <v>285</v>
      </c>
      <c r="AC35" s="23" t="s">
        <v>278</v>
      </c>
      <c r="AD35" s="24" t="s">
        <v>286</v>
      </c>
      <c r="AE35" s="23" t="s">
        <v>235</v>
      </c>
      <c r="AF35" s="24" t="s">
        <v>139</v>
      </c>
      <c r="AG35" s="23" t="s">
        <v>287</v>
      </c>
      <c r="AH35" s="24" t="s">
        <v>288</v>
      </c>
      <c r="AI35" s="23" t="s">
        <v>280</v>
      </c>
      <c r="AJ35" s="24" t="s">
        <v>124</v>
      </c>
      <c r="AK35" s="23"/>
      <c r="AL35" s="24"/>
      <c r="AM35" s="27"/>
      <c r="AN35" s="27"/>
    </row>
    <row r="36" spans="1:40" ht="33" customHeight="1" x14ac:dyDescent="0.3">
      <c r="A36" s="3">
        <v>6</v>
      </c>
      <c r="B36" s="3" t="s">
        <v>44</v>
      </c>
      <c r="C36" s="3" t="s">
        <v>101</v>
      </c>
      <c r="D36" s="28" t="s">
        <v>70</v>
      </c>
      <c r="E36" s="3" t="s">
        <v>66</v>
      </c>
      <c r="F36" s="3" t="s">
        <v>67</v>
      </c>
      <c r="G36" s="19">
        <v>31</v>
      </c>
      <c r="H36" s="20">
        <v>43070</v>
      </c>
      <c r="I36" s="20">
        <v>43465</v>
      </c>
      <c r="J36" s="21" t="s">
        <v>68</v>
      </c>
      <c r="K36" s="5">
        <v>100000</v>
      </c>
      <c r="L36" s="5">
        <f t="shared" si="3"/>
        <v>10000</v>
      </c>
      <c r="M36" s="7">
        <f t="shared" si="1"/>
        <v>110000</v>
      </c>
      <c r="N36" s="22">
        <v>30</v>
      </c>
      <c r="O36" s="23" t="s">
        <v>282</v>
      </c>
      <c r="P36" s="24" t="s">
        <v>273</v>
      </c>
      <c r="Q36" s="23" t="s">
        <v>274</v>
      </c>
      <c r="R36" s="24" t="s">
        <v>190</v>
      </c>
      <c r="S36" s="23" t="s">
        <v>283</v>
      </c>
      <c r="T36" s="24" t="s">
        <v>275</v>
      </c>
      <c r="U36" s="23" t="s">
        <v>202</v>
      </c>
      <c r="V36" s="24" t="s">
        <v>203</v>
      </c>
      <c r="W36" s="23" t="s">
        <v>258</v>
      </c>
      <c r="X36" s="24" t="s">
        <v>284</v>
      </c>
      <c r="Y36" s="23" t="s">
        <v>270</v>
      </c>
      <c r="Z36" s="24" t="s">
        <v>271</v>
      </c>
      <c r="AA36" s="23" t="s">
        <v>232</v>
      </c>
      <c r="AB36" s="24" t="s">
        <v>285</v>
      </c>
      <c r="AC36" s="23" t="s">
        <v>278</v>
      </c>
      <c r="AD36" s="24" t="s">
        <v>286</v>
      </c>
      <c r="AE36" s="23" t="s">
        <v>235</v>
      </c>
      <c r="AF36" s="24" t="s">
        <v>139</v>
      </c>
      <c r="AG36" s="23" t="s">
        <v>287</v>
      </c>
      <c r="AH36" s="24" t="s">
        <v>288</v>
      </c>
      <c r="AI36" s="23" t="s">
        <v>280</v>
      </c>
      <c r="AJ36" s="24" t="s">
        <v>124</v>
      </c>
      <c r="AK36" s="23"/>
      <c r="AL36" s="24"/>
      <c r="AM36" s="27"/>
      <c r="AN36" s="27"/>
    </row>
    <row r="37" spans="1:40" ht="33" customHeight="1" x14ac:dyDescent="0.3">
      <c r="A37" s="3">
        <v>1</v>
      </c>
      <c r="B37" s="8" t="s">
        <v>19</v>
      </c>
      <c r="C37" s="8" t="s">
        <v>102</v>
      </c>
      <c r="D37" s="18" t="s">
        <v>65</v>
      </c>
      <c r="E37" s="3" t="s">
        <v>66</v>
      </c>
      <c r="F37" s="3" t="s">
        <v>67</v>
      </c>
      <c r="G37" s="19">
        <v>5</v>
      </c>
      <c r="H37" s="20">
        <v>42675</v>
      </c>
      <c r="I37" s="30">
        <v>43404</v>
      </c>
      <c r="J37" s="21" t="s">
        <v>68</v>
      </c>
      <c r="K37" s="5">
        <v>100000</v>
      </c>
      <c r="L37" s="5">
        <f t="shared" si="3"/>
        <v>10000</v>
      </c>
      <c r="M37" s="7">
        <f t="shared" si="1"/>
        <v>110000</v>
      </c>
      <c r="N37" s="22">
        <v>31</v>
      </c>
      <c r="O37" s="23" t="s">
        <v>272</v>
      </c>
      <c r="P37" s="24" t="s">
        <v>273</v>
      </c>
      <c r="Q37" s="23" t="s">
        <v>274</v>
      </c>
      <c r="R37" s="24" t="s">
        <v>190</v>
      </c>
      <c r="S37" s="23" t="s">
        <v>275</v>
      </c>
      <c r="T37" s="24" t="s">
        <v>275</v>
      </c>
      <c r="U37" s="23" t="s">
        <v>202</v>
      </c>
      <c r="V37" s="24" t="s">
        <v>202</v>
      </c>
      <c r="W37" s="23" t="s">
        <v>289</v>
      </c>
      <c r="X37" s="24" t="s">
        <v>289</v>
      </c>
      <c r="Y37" s="23" t="s">
        <v>277</v>
      </c>
      <c r="Z37" s="24" t="s">
        <v>270</v>
      </c>
      <c r="AA37" s="23" t="s">
        <v>261</v>
      </c>
      <c r="AB37" s="24" t="s">
        <v>261</v>
      </c>
      <c r="AC37" s="23" t="s">
        <v>278</v>
      </c>
      <c r="AD37" s="24" t="s">
        <v>278</v>
      </c>
      <c r="AE37" s="23" t="s">
        <v>290</v>
      </c>
      <c r="AF37" s="24" t="s">
        <v>235</v>
      </c>
      <c r="AG37" s="23" t="s">
        <v>279</v>
      </c>
      <c r="AH37" s="24" t="s">
        <v>279</v>
      </c>
      <c r="AI37" s="23" t="s">
        <v>280</v>
      </c>
      <c r="AJ37" s="24" t="s">
        <v>280</v>
      </c>
      <c r="AK37" s="23" t="s">
        <v>240</v>
      </c>
      <c r="AL37" s="24" t="s">
        <v>240</v>
      </c>
      <c r="AM37" s="27"/>
      <c r="AN37" s="27"/>
    </row>
    <row r="38" spans="1:40" ht="33" customHeight="1" x14ac:dyDescent="0.3">
      <c r="A38" s="3">
        <v>2</v>
      </c>
      <c r="B38" s="8" t="s">
        <v>21</v>
      </c>
      <c r="C38" s="8" t="s">
        <v>103</v>
      </c>
      <c r="D38" s="28" t="s">
        <v>70</v>
      </c>
      <c r="E38" s="3" t="s">
        <v>66</v>
      </c>
      <c r="F38" s="3" t="s">
        <v>67</v>
      </c>
      <c r="G38" s="19">
        <v>7</v>
      </c>
      <c r="H38" s="20">
        <v>43160</v>
      </c>
      <c r="I38" s="20">
        <v>43524</v>
      </c>
      <c r="J38" s="21" t="s">
        <v>68</v>
      </c>
      <c r="K38" s="5">
        <v>100000</v>
      </c>
      <c r="L38" s="5">
        <f t="shared" si="3"/>
        <v>10000</v>
      </c>
      <c r="M38" s="7">
        <f t="shared" si="1"/>
        <v>110000</v>
      </c>
      <c r="N38" s="22">
        <v>31</v>
      </c>
      <c r="O38" s="47"/>
      <c r="P38" s="48"/>
      <c r="Q38" s="47"/>
      <c r="R38" s="48"/>
      <c r="S38" s="23" t="s">
        <v>275</v>
      </c>
      <c r="T38" s="24" t="s">
        <v>247</v>
      </c>
      <c r="U38" s="23" t="s">
        <v>202</v>
      </c>
      <c r="V38" s="24" t="s">
        <v>203</v>
      </c>
      <c r="W38" s="23" t="s">
        <v>289</v>
      </c>
      <c r="X38" s="24" t="s">
        <v>284</v>
      </c>
      <c r="Y38" s="23" t="s">
        <v>270</v>
      </c>
      <c r="Z38" s="24" t="s">
        <v>271</v>
      </c>
      <c r="AA38" s="23" t="s">
        <v>261</v>
      </c>
      <c r="AB38" s="24" t="s">
        <v>291</v>
      </c>
      <c r="AC38" s="23" t="s">
        <v>278</v>
      </c>
      <c r="AD38" s="24" t="s">
        <v>286</v>
      </c>
      <c r="AE38" s="23" t="s">
        <v>235</v>
      </c>
      <c r="AF38" s="24" t="s">
        <v>139</v>
      </c>
      <c r="AG38" s="23" t="s">
        <v>122</v>
      </c>
      <c r="AH38" s="24" t="s">
        <v>123</v>
      </c>
      <c r="AI38" s="23" t="s">
        <v>280</v>
      </c>
      <c r="AJ38" s="24" t="s">
        <v>124</v>
      </c>
      <c r="AK38" s="23"/>
      <c r="AL38" s="24"/>
      <c r="AM38" s="27"/>
      <c r="AN38" s="27"/>
    </row>
    <row r="39" spans="1:40" ht="33" customHeight="1" x14ac:dyDescent="0.3">
      <c r="A39" s="3">
        <v>2</v>
      </c>
      <c r="B39" s="8" t="s">
        <v>22</v>
      </c>
      <c r="C39" s="8" t="s">
        <v>104</v>
      </c>
      <c r="D39" s="28" t="s">
        <v>70</v>
      </c>
      <c r="E39" s="3" t="s">
        <v>66</v>
      </c>
      <c r="F39" s="3" t="s">
        <v>67</v>
      </c>
      <c r="G39" s="19">
        <v>7</v>
      </c>
      <c r="H39" s="20">
        <v>43160</v>
      </c>
      <c r="I39" s="20">
        <v>43524</v>
      </c>
      <c r="J39" s="21" t="s">
        <v>68</v>
      </c>
      <c r="K39" s="5">
        <v>80000</v>
      </c>
      <c r="L39" s="5">
        <f t="shared" si="3"/>
        <v>8000</v>
      </c>
      <c r="M39" s="7">
        <f t="shared" si="1"/>
        <v>88000</v>
      </c>
      <c r="N39" s="22">
        <v>31</v>
      </c>
      <c r="O39" s="47"/>
      <c r="P39" s="48"/>
      <c r="Q39" s="47"/>
      <c r="R39" s="48"/>
      <c r="S39" s="23" t="s">
        <v>275</v>
      </c>
      <c r="T39" s="24" t="s">
        <v>247</v>
      </c>
      <c r="U39" s="23" t="s">
        <v>202</v>
      </c>
      <c r="V39" s="24" t="s">
        <v>203</v>
      </c>
      <c r="W39" s="23" t="s">
        <v>289</v>
      </c>
      <c r="X39" s="24" t="s">
        <v>284</v>
      </c>
      <c r="Y39" s="23" t="s">
        <v>270</v>
      </c>
      <c r="Z39" s="24" t="s">
        <v>271</v>
      </c>
      <c r="AA39" s="23" t="s">
        <v>261</v>
      </c>
      <c r="AB39" s="24" t="s">
        <v>291</v>
      </c>
      <c r="AC39" s="23" t="s">
        <v>278</v>
      </c>
      <c r="AD39" s="24" t="s">
        <v>286</v>
      </c>
      <c r="AE39" s="23" t="s">
        <v>235</v>
      </c>
      <c r="AF39" s="24" t="s">
        <v>139</v>
      </c>
      <c r="AG39" s="23" t="s">
        <v>122</v>
      </c>
      <c r="AH39" s="24" t="s">
        <v>123</v>
      </c>
      <c r="AI39" s="23" t="s">
        <v>280</v>
      </c>
      <c r="AJ39" s="24" t="s">
        <v>124</v>
      </c>
      <c r="AK39" s="23"/>
      <c r="AL39" s="24"/>
      <c r="AM39" s="27"/>
      <c r="AN39" s="27"/>
    </row>
    <row r="40" spans="1:40" ht="33" customHeight="1" x14ac:dyDescent="0.3">
      <c r="A40" s="3">
        <v>3</v>
      </c>
      <c r="B40" s="8" t="s">
        <v>30</v>
      </c>
      <c r="C40" s="8" t="s">
        <v>105</v>
      </c>
      <c r="D40" s="28" t="s">
        <v>70</v>
      </c>
      <c r="E40" s="3" t="s">
        <v>66</v>
      </c>
      <c r="F40" s="3" t="s">
        <v>67</v>
      </c>
      <c r="G40" s="19">
        <v>10</v>
      </c>
      <c r="H40" s="20">
        <v>43180</v>
      </c>
      <c r="I40" s="20">
        <v>43544</v>
      </c>
      <c r="J40" s="21" t="s">
        <v>68</v>
      </c>
      <c r="K40" s="5">
        <v>100000</v>
      </c>
      <c r="L40" s="5">
        <f t="shared" si="3"/>
        <v>10000</v>
      </c>
      <c r="M40" s="7">
        <f t="shared" si="1"/>
        <v>110000</v>
      </c>
      <c r="N40" s="22">
        <v>31</v>
      </c>
      <c r="O40" s="47"/>
      <c r="P40" s="48"/>
      <c r="Q40" s="47"/>
      <c r="R40" s="48"/>
      <c r="S40" s="23" t="s">
        <v>275</v>
      </c>
      <c r="T40" s="24" t="s">
        <v>247</v>
      </c>
      <c r="U40" s="23" t="s">
        <v>202</v>
      </c>
      <c r="V40" s="24" t="s">
        <v>203</v>
      </c>
      <c r="W40" s="23" t="s">
        <v>289</v>
      </c>
      <c r="X40" s="24" t="s">
        <v>284</v>
      </c>
      <c r="Y40" s="23" t="s">
        <v>270</v>
      </c>
      <c r="Z40" s="24" t="s">
        <v>271</v>
      </c>
      <c r="AA40" s="23" t="s">
        <v>261</v>
      </c>
      <c r="AB40" s="24" t="s">
        <v>291</v>
      </c>
      <c r="AC40" s="23" t="s">
        <v>278</v>
      </c>
      <c r="AD40" s="24" t="s">
        <v>286</v>
      </c>
      <c r="AE40" s="23" t="s">
        <v>235</v>
      </c>
      <c r="AF40" s="24" t="s">
        <v>139</v>
      </c>
      <c r="AG40" s="23" t="s">
        <v>122</v>
      </c>
      <c r="AH40" s="24" t="s">
        <v>123</v>
      </c>
      <c r="AI40" s="23" t="s">
        <v>280</v>
      </c>
      <c r="AJ40" s="24" t="s">
        <v>124</v>
      </c>
      <c r="AK40" s="23"/>
      <c r="AL40" s="24"/>
      <c r="AM40" s="27"/>
      <c r="AN40" s="27"/>
    </row>
    <row r="41" spans="1:40" ht="33" customHeight="1" x14ac:dyDescent="0.3">
      <c r="A41" s="3">
        <v>3</v>
      </c>
      <c r="B41" s="8" t="s">
        <v>33</v>
      </c>
      <c r="C41" s="8" t="s">
        <v>106</v>
      </c>
      <c r="D41" s="28" t="s">
        <v>70</v>
      </c>
      <c r="E41" s="3" t="s">
        <v>66</v>
      </c>
      <c r="F41" s="3" t="s">
        <v>67</v>
      </c>
      <c r="G41" s="19">
        <v>11</v>
      </c>
      <c r="H41" s="20">
        <v>43132</v>
      </c>
      <c r="I41" s="20">
        <v>43312</v>
      </c>
      <c r="J41" s="21" t="s">
        <v>68</v>
      </c>
      <c r="K41" s="5">
        <v>300000</v>
      </c>
      <c r="L41" s="5">
        <f t="shared" si="3"/>
        <v>30000</v>
      </c>
      <c r="M41" s="7">
        <f t="shared" si="1"/>
        <v>330000</v>
      </c>
      <c r="N41" s="22">
        <v>31</v>
      </c>
      <c r="O41" s="47"/>
      <c r="P41" s="48"/>
      <c r="Q41" s="23" t="s">
        <v>274</v>
      </c>
      <c r="R41" s="24" t="s">
        <v>190</v>
      </c>
      <c r="S41" s="23" t="s">
        <v>275</v>
      </c>
      <c r="T41" s="24" t="s">
        <v>247</v>
      </c>
      <c r="U41" s="23" t="s">
        <v>202</v>
      </c>
      <c r="V41" s="24" t="s">
        <v>203</v>
      </c>
      <c r="W41" s="23" t="s">
        <v>289</v>
      </c>
      <c r="X41" s="24" t="s">
        <v>284</v>
      </c>
      <c r="Y41" s="23" t="s">
        <v>270</v>
      </c>
      <c r="Z41" s="24" t="s">
        <v>271</v>
      </c>
      <c r="AA41" s="23" t="s">
        <v>261</v>
      </c>
      <c r="AB41" s="24" t="s">
        <v>291</v>
      </c>
      <c r="AC41" s="23" t="s">
        <v>278</v>
      </c>
      <c r="AD41" s="24" t="s">
        <v>286</v>
      </c>
      <c r="AE41" s="23" t="s">
        <v>235</v>
      </c>
      <c r="AF41" s="24" t="s">
        <v>139</v>
      </c>
      <c r="AG41" s="23" t="s">
        <v>122</v>
      </c>
      <c r="AH41" s="24" t="s">
        <v>123</v>
      </c>
      <c r="AI41" s="23" t="s">
        <v>280</v>
      </c>
      <c r="AJ41" s="24" t="s">
        <v>124</v>
      </c>
      <c r="AK41" s="23"/>
      <c r="AL41" s="24"/>
      <c r="AM41" s="27"/>
      <c r="AN41" s="27"/>
    </row>
    <row r="42" spans="1:40" ht="33" customHeight="1" x14ac:dyDescent="0.3">
      <c r="A42" s="3">
        <v>6</v>
      </c>
      <c r="B42" s="8" t="s">
        <v>292</v>
      </c>
      <c r="C42" s="8" t="s">
        <v>293</v>
      </c>
      <c r="D42" s="28" t="s">
        <v>70</v>
      </c>
      <c r="E42" s="3" t="s">
        <v>66</v>
      </c>
      <c r="F42" s="3" t="s">
        <v>67</v>
      </c>
      <c r="G42" s="19">
        <v>31</v>
      </c>
      <c r="H42" s="20">
        <v>42949</v>
      </c>
      <c r="I42" s="20">
        <v>43313</v>
      </c>
      <c r="J42" s="52" t="s">
        <v>225</v>
      </c>
      <c r="K42" s="5"/>
      <c r="L42" s="5">
        <f t="shared" si="3"/>
        <v>0</v>
      </c>
      <c r="M42" s="7">
        <f t="shared" si="1"/>
        <v>0</v>
      </c>
      <c r="N42" s="22">
        <v>31</v>
      </c>
      <c r="O42" s="23" t="s">
        <v>273</v>
      </c>
      <c r="P42" s="24" t="s">
        <v>273</v>
      </c>
      <c r="Q42" s="23" t="s">
        <v>274</v>
      </c>
      <c r="R42" s="24" t="s">
        <v>190</v>
      </c>
      <c r="S42" s="47"/>
      <c r="T42" s="48"/>
      <c r="U42" s="47"/>
      <c r="V42" s="48"/>
      <c r="W42" s="47"/>
      <c r="X42" s="48"/>
      <c r="Y42" s="47"/>
      <c r="Z42" s="48"/>
      <c r="AA42" s="47"/>
      <c r="AB42" s="48"/>
      <c r="AC42" s="47"/>
      <c r="AD42" s="48"/>
      <c r="AE42" s="47"/>
      <c r="AF42" s="48"/>
      <c r="AG42" s="47"/>
      <c r="AH42" s="48"/>
      <c r="AI42" s="47"/>
      <c r="AJ42" s="48"/>
      <c r="AK42" s="47"/>
      <c r="AL42" s="48"/>
      <c r="AM42" s="51"/>
      <c r="AN42" s="51"/>
    </row>
    <row r="43" spans="1:40" ht="33" customHeight="1" x14ac:dyDescent="0.3">
      <c r="A43" s="3">
        <v>6</v>
      </c>
      <c r="B43" s="8" t="s">
        <v>45</v>
      </c>
      <c r="C43" s="8" t="s">
        <v>107</v>
      </c>
      <c r="D43" s="28" t="s">
        <v>70</v>
      </c>
      <c r="E43" s="3" t="s">
        <v>66</v>
      </c>
      <c r="F43" s="3" t="s">
        <v>67</v>
      </c>
      <c r="G43" s="19">
        <v>31</v>
      </c>
      <c r="H43" s="20">
        <v>42917</v>
      </c>
      <c r="I43" s="30">
        <v>43281</v>
      </c>
      <c r="J43" s="21" t="s">
        <v>68</v>
      </c>
      <c r="K43" s="5">
        <v>100000</v>
      </c>
      <c r="L43" s="5">
        <f t="shared" si="3"/>
        <v>10000</v>
      </c>
      <c r="M43" s="7">
        <f t="shared" si="1"/>
        <v>110000</v>
      </c>
      <c r="N43" s="22">
        <v>31</v>
      </c>
      <c r="O43" s="23" t="s">
        <v>273</v>
      </c>
      <c r="P43" s="24" t="s">
        <v>273</v>
      </c>
      <c r="Q43" s="23" t="s">
        <v>274</v>
      </c>
      <c r="R43" s="24" t="s">
        <v>190</v>
      </c>
      <c r="S43" s="23" t="s">
        <v>275</v>
      </c>
      <c r="T43" s="24" t="s">
        <v>247</v>
      </c>
      <c r="U43" s="23" t="s">
        <v>202</v>
      </c>
      <c r="V43" s="24" t="s">
        <v>203</v>
      </c>
      <c r="W43" s="23" t="s">
        <v>289</v>
      </c>
      <c r="X43" s="24" t="s">
        <v>284</v>
      </c>
      <c r="Y43" s="23" t="s">
        <v>270</v>
      </c>
      <c r="Z43" s="24" t="s">
        <v>271</v>
      </c>
      <c r="AA43" s="23" t="s">
        <v>261</v>
      </c>
      <c r="AB43" s="24" t="s">
        <v>291</v>
      </c>
      <c r="AC43" s="23" t="s">
        <v>278</v>
      </c>
      <c r="AD43" s="24" t="s">
        <v>286</v>
      </c>
      <c r="AE43" s="23" t="s">
        <v>235</v>
      </c>
      <c r="AF43" s="24" t="s">
        <v>139</v>
      </c>
      <c r="AG43" s="23" t="s">
        <v>122</v>
      </c>
      <c r="AH43" s="24" t="s">
        <v>123</v>
      </c>
      <c r="AI43" s="23" t="s">
        <v>280</v>
      </c>
      <c r="AJ43" s="24" t="s">
        <v>124</v>
      </c>
      <c r="AK43" s="23"/>
      <c r="AL43" s="24"/>
      <c r="AM43" s="27"/>
      <c r="AN43" s="27"/>
    </row>
    <row r="44" spans="1:40" ht="33" customHeight="1" x14ac:dyDescent="0.3">
      <c r="A44" s="3"/>
      <c r="B44" s="8"/>
      <c r="C44" s="8"/>
      <c r="D44" s="28"/>
      <c r="E44" s="3"/>
      <c r="F44" s="3"/>
      <c r="G44" s="19"/>
      <c r="H44" s="29"/>
      <c r="I44" s="29"/>
      <c r="J44" s="36"/>
      <c r="K44" s="5"/>
      <c r="L44" s="5"/>
      <c r="M44" s="7"/>
      <c r="N44" s="22"/>
      <c r="O44" s="23"/>
      <c r="P44" s="24"/>
      <c r="Q44" s="23"/>
      <c r="R44" s="24"/>
      <c r="S44" s="23"/>
      <c r="T44" s="24"/>
      <c r="U44" s="23"/>
      <c r="V44" s="24"/>
      <c r="W44" s="23"/>
      <c r="X44" s="24"/>
      <c r="Y44" s="23"/>
      <c r="Z44" s="24"/>
      <c r="AA44" s="23"/>
      <c r="AB44" s="24"/>
      <c r="AC44" s="23"/>
      <c r="AD44" s="24"/>
      <c r="AE44" s="23"/>
      <c r="AF44" s="24"/>
      <c r="AG44" s="23"/>
      <c r="AH44" s="24"/>
      <c r="AI44" s="23"/>
      <c r="AJ44" s="24"/>
      <c r="AK44" s="23"/>
      <c r="AL44" s="24"/>
      <c r="AM44" s="27"/>
      <c r="AN44" s="27"/>
    </row>
    <row r="45" spans="1:40" ht="33" customHeight="1" x14ac:dyDescent="0.3">
      <c r="A45" s="3"/>
      <c r="B45" s="8"/>
      <c r="C45" s="8"/>
      <c r="D45" s="28"/>
      <c r="E45" s="3"/>
      <c r="F45" s="3"/>
      <c r="G45" s="19"/>
      <c r="H45" s="29"/>
      <c r="I45" s="29"/>
      <c r="J45" s="36"/>
      <c r="K45" s="5"/>
      <c r="L45" s="5"/>
      <c r="M45" s="7"/>
      <c r="N45" s="22"/>
      <c r="O45" s="23"/>
      <c r="P45" s="24"/>
      <c r="Q45" s="23"/>
      <c r="R45" s="24"/>
      <c r="S45" s="23"/>
      <c r="T45" s="24"/>
      <c r="U45" s="23"/>
      <c r="V45" s="24"/>
      <c r="W45" s="23"/>
      <c r="X45" s="24"/>
      <c r="Y45" s="23"/>
      <c r="Z45" s="24"/>
      <c r="AA45" s="23"/>
      <c r="AB45" s="24"/>
      <c r="AC45" s="23"/>
      <c r="AD45" s="24"/>
      <c r="AE45" s="23"/>
      <c r="AF45" s="24"/>
      <c r="AG45" s="23"/>
      <c r="AH45" s="24"/>
      <c r="AI45" s="23"/>
      <c r="AJ45" s="24"/>
      <c r="AK45" s="23"/>
      <c r="AL45" s="24"/>
      <c r="AM45" s="27"/>
      <c r="AN45" s="27"/>
    </row>
    <row r="46" spans="1:40" ht="33" customHeight="1" x14ac:dyDescent="0.3">
      <c r="A46" s="3"/>
      <c r="B46" s="8"/>
      <c r="C46" s="8"/>
      <c r="D46" s="3"/>
      <c r="E46" s="3"/>
      <c r="F46" s="3"/>
      <c r="G46" s="19"/>
      <c r="H46" s="29"/>
      <c r="I46" s="29"/>
      <c r="J46" s="29"/>
      <c r="K46" s="5"/>
      <c r="L46" s="5"/>
      <c r="M46" s="7"/>
      <c r="N46" s="22"/>
      <c r="O46" s="23"/>
      <c r="P46" s="24"/>
      <c r="Q46" s="23"/>
      <c r="R46" s="24"/>
      <c r="S46" s="23"/>
      <c r="T46" s="24"/>
      <c r="U46" s="23"/>
      <c r="V46" s="24"/>
      <c r="W46" s="23"/>
      <c r="X46" s="24"/>
      <c r="Y46" s="23"/>
      <c r="Z46" s="24"/>
      <c r="AA46" s="23"/>
      <c r="AB46" s="24"/>
      <c r="AC46" s="23"/>
      <c r="AD46" s="24"/>
      <c r="AE46" s="23"/>
      <c r="AF46" s="24"/>
      <c r="AG46" s="23"/>
      <c r="AH46" s="24"/>
      <c r="AI46" s="23"/>
      <c r="AJ46" s="24"/>
      <c r="AK46" s="23"/>
      <c r="AL46" s="24"/>
      <c r="AM46" s="27"/>
      <c r="AN46" s="27"/>
    </row>
    <row r="47" spans="1:40" ht="33" customHeight="1" x14ac:dyDescent="0.3">
      <c r="A47" s="3"/>
      <c r="B47" s="8"/>
      <c r="C47" s="8"/>
      <c r="D47" s="3"/>
      <c r="E47" s="3"/>
      <c r="F47" s="3"/>
      <c r="G47" s="19"/>
      <c r="H47" s="29"/>
      <c r="I47" s="29"/>
      <c r="J47" s="29"/>
      <c r="K47" s="5"/>
      <c r="L47" s="5"/>
      <c r="M47" s="7"/>
      <c r="N47" s="22"/>
      <c r="O47" s="23"/>
      <c r="P47" s="24"/>
      <c r="Q47" s="23"/>
      <c r="R47" s="24"/>
      <c r="S47" s="23"/>
      <c r="T47" s="24"/>
      <c r="U47" s="23"/>
      <c r="V47" s="24"/>
      <c r="W47" s="23"/>
      <c r="X47" s="24"/>
      <c r="Y47" s="23"/>
      <c r="Z47" s="24"/>
      <c r="AA47" s="23"/>
      <c r="AB47" s="24"/>
      <c r="AC47" s="23"/>
      <c r="AD47" s="24"/>
      <c r="AE47" s="23"/>
      <c r="AF47" s="24"/>
      <c r="AG47" s="23"/>
      <c r="AH47" s="24"/>
      <c r="AI47" s="23"/>
      <c r="AJ47" s="24"/>
      <c r="AK47" s="23"/>
      <c r="AL47" s="24"/>
      <c r="AM47" s="27"/>
      <c r="AN47" s="27"/>
    </row>
    <row r="48" spans="1:40" ht="33" customHeight="1" x14ac:dyDescent="0.3">
      <c r="A48" s="3"/>
      <c r="B48" s="8"/>
      <c r="C48" s="8"/>
      <c r="D48" s="3"/>
      <c r="E48" s="3"/>
      <c r="F48" s="3"/>
      <c r="G48" s="19"/>
      <c r="H48" s="29"/>
      <c r="I48" s="29"/>
      <c r="J48" s="29"/>
      <c r="K48" s="5"/>
      <c r="L48" s="5"/>
      <c r="M48" s="7"/>
      <c r="N48" s="22"/>
      <c r="O48" s="23"/>
      <c r="P48" s="24"/>
      <c r="Q48" s="23"/>
      <c r="R48" s="24"/>
      <c r="S48" s="23"/>
      <c r="T48" s="24"/>
      <c r="U48" s="23"/>
      <c r="V48" s="24"/>
      <c r="W48" s="23"/>
      <c r="X48" s="24"/>
      <c r="Y48" s="23"/>
      <c r="Z48" s="24"/>
      <c r="AA48" s="23"/>
      <c r="AB48" s="24"/>
      <c r="AC48" s="23"/>
      <c r="AD48" s="24"/>
      <c r="AE48" s="23"/>
      <c r="AF48" s="24"/>
      <c r="AG48" s="23"/>
      <c r="AH48" s="24"/>
      <c r="AI48" s="23"/>
      <c r="AJ48" s="24"/>
      <c r="AK48" s="23"/>
      <c r="AL48" s="24"/>
      <c r="AM48" s="27"/>
      <c r="AN48" s="27"/>
    </row>
    <row r="49" spans="1:40" ht="33" customHeight="1" x14ac:dyDescent="0.3">
      <c r="A49" s="3"/>
      <c r="B49" s="3"/>
      <c r="C49" s="3"/>
      <c r="D49" s="3"/>
      <c r="E49" s="3"/>
      <c r="F49" s="3"/>
      <c r="G49" s="31"/>
      <c r="H49" s="29"/>
      <c r="I49" s="29"/>
      <c r="J49" s="29"/>
      <c r="K49" s="5"/>
      <c r="L49" s="5">
        <f>ROUNDDOWN(K49*10%,1)</f>
        <v>0</v>
      </c>
      <c r="M49" s="7">
        <f>SUM(K49:L49)</f>
        <v>0</v>
      </c>
      <c r="N49" s="22"/>
      <c r="O49" s="23"/>
      <c r="P49" s="24"/>
      <c r="Q49" s="23"/>
      <c r="R49" s="24"/>
      <c r="S49" s="23"/>
      <c r="T49" s="24"/>
      <c r="U49" s="23"/>
      <c r="V49" s="24"/>
      <c r="W49" s="23"/>
      <c r="X49" s="24"/>
      <c r="Y49" s="23"/>
      <c r="Z49" s="24"/>
      <c r="AA49" s="23"/>
      <c r="AB49" s="24"/>
      <c r="AC49" s="23"/>
      <c r="AD49" s="24"/>
      <c r="AE49" s="23"/>
      <c r="AF49" s="24"/>
      <c r="AG49" s="23"/>
      <c r="AH49" s="24"/>
      <c r="AI49" s="23"/>
      <c r="AJ49" s="24"/>
      <c r="AK49" s="23"/>
      <c r="AL49" s="24"/>
      <c r="AM49" s="27"/>
      <c r="AN49" s="27"/>
    </row>
    <row r="50" spans="1:40" ht="16.5" customHeight="1" x14ac:dyDescent="0.3"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7"/>
      <c r="AN50" s="37"/>
    </row>
    <row r="51" spans="1:40" ht="33" customHeight="1" x14ac:dyDescent="0.3">
      <c r="A51" s="38" t="s">
        <v>108</v>
      </c>
      <c r="B51" s="39"/>
      <c r="C51" s="39"/>
      <c r="D51" s="39"/>
      <c r="E51" s="39"/>
      <c r="F51" s="39"/>
      <c r="G51" s="40"/>
      <c r="H51" s="40"/>
      <c r="I51" s="40"/>
      <c r="J51" s="40">
        <f>COUNTIF($J$3:$J$50,"계속")</f>
        <v>38</v>
      </c>
      <c r="K51" s="41">
        <f t="shared" ref="K51:M51" si="4">SUMIF($J$3:$J$49,"계속",K3:K49)</f>
        <v>4500000</v>
      </c>
      <c r="L51" s="42">
        <f t="shared" si="4"/>
        <v>440000</v>
      </c>
      <c r="M51" s="42">
        <f t="shared" si="4"/>
        <v>4940000</v>
      </c>
      <c r="N51" s="43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</row>
    <row r="52" spans="1:40" ht="16.5" customHeight="1" x14ac:dyDescent="0.3">
      <c r="K52" s="45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</row>
    <row r="53" spans="1:40" ht="16.5" customHeight="1" x14ac:dyDescent="0.3"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</row>
    <row r="54" spans="1:40" ht="16.5" customHeight="1" x14ac:dyDescent="0.3"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</row>
    <row r="55" spans="1:40" ht="16.5" customHeight="1" x14ac:dyDescent="0.3"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  <c r="AG55" s="37"/>
      <c r="AH55" s="37"/>
      <c r="AI55" s="37"/>
      <c r="AJ55" s="37"/>
      <c r="AK55" s="37"/>
      <c r="AL55" s="37"/>
      <c r="AM55" s="37"/>
      <c r="AN55" s="37"/>
    </row>
    <row r="56" spans="1:40" ht="16.5" customHeight="1" x14ac:dyDescent="0.3">
      <c r="O56" s="45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</row>
    <row r="57" spans="1:40" ht="16.5" customHeight="1" x14ac:dyDescent="0.3"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</row>
    <row r="58" spans="1:40" ht="16.5" customHeight="1" x14ac:dyDescent="0.3"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  <c r="AF58" s="37"/>
      <c r="AG58" s="37"/>
      <c r="AH58" s="37"/>
      <c r="AI58" s="37"/>
      <c r="AJ58" s="37"/>
      <c r="AK58" s="37"/>
      <c r="AL58" s="37"/>
      <c r="AM58" s="37"/>
      <c r="AN58" s="37"/>
    </row>
    <row r="59" spans="1:40" ht="16.5" customHeight="1" x14ac:dyDescent="0.3"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  <c r="AG59" s="37"/>
      <c r="AH59" s="37"/>
      <c r="AI59" s="37"/>
      <c r="AJ59" s="37"/>
      <c r="AK59" s="37"/>
      <c r="AL59" s="37"/>
      <c r="AM59" s="37"/>
      <c r="AN59" s="37"/>
    </row>
    <row r="60" spans="1:40" ht="16.5" customHeight="1" x14ac:dyDescent="0.3">
      <c r="M60" s="46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7"/>
      <c r="AJ60" s="37"/>
      <c r="AK60" s="37"/>
      <c r="AL60" s="37"/>
      <c r="AM60" s="37"/>
      <c r="AN60" s="37"/>
    </row>
    <row r="61" spans="1:40" ht="16.5" customHeight="1" x14ac:dyDescent="0.3">
      <c r="M61" s="46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  <c r="AF61" s="37"/>
      <c r="AG61" s="37"/>
      <c r="AH61" s="37"/>
      <c r="AI61" s="37"/>
      <c r="AJ61" s="37"/>
      <c r="AK61" s="37"/>
      <c r="AL61" s="37"/>
      <c r="AM61" s="37"/>
      <c r="AN61" s="37"/>
    </row>
    <row r="62" spans="1:40" ht="16.5" customHeight="1" x14ac:dyDescent="0.3">
      <c r="M62" s="46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  <c r="AF62" s="37"/>
      <c r="AG62" s="37"/>
      <c r="AH62" s="37"/>
      <c r="AI62" s="37"/>
      <c r="AJ62" s="37"/>
      <c r="AK62" s="37"/>
      <c r="AL62" s="37"/>
      <c r="AM62" s="37"/>
      <c r="AN62" s="37"/>
    </row>
    <row r="63" spans="1:40" ht="16.5" customHeight="1" x14ac:dyDescent="0.3">
      <c r="M63" s="46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37"/>
      <c r="AN63" s="37"/>
    </row>
    <row r="64" spans="1:40" ht="16.5" customHeight="1" x14ac:dyDescent="0.3"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  <c r="AF64" s="37"/>
      <c r="AG64" s="37"/>
      <c r="AH64" s="37"/>
      <c r="AI64" s="37"/>
      <c r="AJ64" s="37"/>
      <c r="AK64" s="37"/>
      <c r="AL64" s="37"/>
      <c r="AM64" s="37"/>
      <c r="AN64" s="37"/>
    </row>
    <row r="65" spans="15:40" ht="16.5" customHeight="1" x14ac:dyDescent="0.3"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  <c r="AF65" s="37"/>
      <c r="AG65" s="37"/>
      <c r="AH65" s="37"/>
      <c r="AI65" s="37"/>
      <c r="AJ65" s="37"/>
      <c r="AK65" s="37"/>
      <c r="AL65" s="37"/>
      <c r="AM65" s="37"/>
      <c r="AN65" s="37"/>
    </row>
    <row r="66" spans="15:40" ht="16.5" customHeight="1" x14ac:dyDescent="0.3"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  <c r="AF66" s="37"/>
      <c r="AG66" s="37"/>
      <c r="AH66" s="37"/>
      <c r="AI66" s="37"/>
      <c r="AJ66" s="37"/>
      <c r="AK66" s="37"/>
      <c r="AL66" s="37"/>
      <c r="AM66" s="37"/>
      <c r="AN66" s="37"/>
    </row>
    <row r="67" spans="15:40" ht="16.5" customHeight="1" x14ac:dyDescent="0.3"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  <c r="AF67" s="37"/>
      <c r="AG67" s="37"/>
      <c r="AH67" s="37"/>
      <c r="AI67" s="37"/>
      <c r="AJ67" s="37"/>
      <c r="AK67" s="37"/>
      <c r="AL67" s="37"/>
      <c r="AM67" s="37"/>
      <c r="AN67" s="37"/>
    </row>
    <row r="68" spans="15:40" ht="16.5" customHeight="1" x14ac:dyDescent="0.3"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  <c r="AF68" s="37"/>
      <c r="AG68" s="37"/>
      <c r="AH68" s="37"/>
      <c r="AI68" s="37"/>
      <c r="AJ68" s="37"/>
      <c r="AK68" s="37"/>
      <c r="AL68" s="37"/>
      <c r="AM68" s="37"/>
      <c r="AN68" s="37"/>
    </row>
    <row r="69" spans="15:40" ht="16.5" customHeight="1" x14ac:dyDescent="0.3"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  <c r="AF69" s="37"/>
      <c r="AG69" s="37"/>
      <c r="AH69" s="37"/>
      <c r="AI69" s="37"/>
      <c r="AJ69" s="37"/>
      <c r="AK69" s="37"/>
      <c r="AL69" s="37"/>
      <c r="AM69" s="37"/>
      <c r="AN69" s="37"/>
    </row>
    <row r="70" spans="15:40" ht="16.5" customHeight="1" x14ac:dyDescent="0.3"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  <c r="AF70" s="37"/>
      <c r="AG70" s="37"/>
      <c r="AH70" s="37"/>
      <c r="AI70" s="37"/>
      <c r="AJ70" s="37"/>
      <c r="AK70" s="37"/>
      <c r="AL70" s="37"/>
      <c r="AM70" s="37"/>
      <c r="AN70" s="37"/>
    </row>
    <row r="71" spans="15:40" ht="16.5" customHeight="1" x14ac:dyDescent="0.3"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  <c r="AF71" s="37"/>
      <c r="AG71" s="37"/>
      <c r="AH71" s="37"/>
      <c r="AI71" s="37"/>
      <c r="AJ71" s="37"/>
      <c r="AK71" s="37"/>
      <c r="AL71" s="37"/>
      <c r="AM71" s="37"/>
      <c r="AN71" s="37"/>
    </row>
    <row r="72" spans="15:40" ht="16.5" customHeight="1" x14ac:dyDescent="0.3"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7"/>
      <c r="AJ72" s="37"/>
      <c r="AK72" s="37"/>
      <c r="AL72" s="37"/>
      <c r="AM72" s="37"/>
      <c r="AN72" s="37"/>
    </row>
    <row r="73" spans="15:40" ht="16.5" customHeight="1" x14ac:dyDescent="0.3"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  <c r="AF73" s="37"/>
      <c r="AG73" s="37"/>
      <c r="AH73" s="37"/>
      <c r="AI73" s="37"/>
      <c r="AJ73" s="37"/>
      <c r="AK73" s="37"/>
      <c r="AL73" s="37"/>
      <c r="AM73" s="37"/>
      <c r="AN73" s="37"/>
    </row>
    <row r="74" spans="15:40" ht="16.5" customHeight="1" x14ac:dyDescent="0.3"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  <c r="AF74" s="37"/>
      <c r="AG74" s="37"/>
      <c r="AH74" s="37"/>
      <c r="AI74" s="37"/>
      <c r="AJ74" s="37"/>
      <c r="AK74" s="37"/>
      <c r="AL74" s="37"/>
      <c r="AM74" s="37"/>
      <c r="AN74" s="37"/>
    </row>
    <row r="75" spans="15:40" ht="16.5" customHeight="1" x14ac:dyDescent="0.3"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</row>
    <row r="76" spans="15:40" ht="16.5" customHeight="1" x14ac:dyDescent="0.3"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  <c r="AF76" s="37"/>
      <c r="AG76" s="37"/>
      <c r="AH76" s="37"/>
      <c r="AI76" s="37"/>
      <c r="AJ76" s="37"/>
      <c r="AK76" s="37"/>
      <c r="AL76" s="37"/>
      <c r="AM76" s="37"/>
      <c r="AN76" s="37"/>
    </row>
    <row r="77" spans="15:40" ht="16.5" customHeight="1" x14ac:dyDescent="0.3"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  <c r="AF77" s="37"/>
      <c r="AG77" s="37"/>
      <c r="AH77" s="37"/>
      <c r="AI77" s="37"/>
      <c r="AJ77" s="37"/>
      <c r="AK77" s="37"/>
      <c r="AL77" s="37"/>
      <c r="AM77" s="37"/>
      <c r="AN77" s="37"/>
    </row>
    <row r="78" spans="15:40" ht="16.5" customHeight="1" x14ac:dyDescent="0.3"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  <c r="AF78" s="37"/>
      <c r="AG78" s="37"/>
      <c r="AH78" s="37"/>
      <c r="AI78" s="37"/>
      <c r="AJ78" s="37"/>
      <c r="AK78" s="37"/>
      <c r="AL78" s="37"/>
      <c r="AM78" s="37"/>
      <c r="AN78" s="37"/>
    </row>
    <row r="79" spans="15:40" ht="16.5" customHeight="1" x14ac:dyDescent="0.3"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  <c r="AF79" s="37"/>
      <c r="AG79" s="37"/>
      <c r="AH79" s="37"/>
      <c r="AI79" s="37"/>
      <c r="AJ79" s="37"/>
      <c r="AK79" s="37"/>
      <c r="AL79" s="37"/>
      <c r="AM79" s="37"/>
      <c r="AN79" s="37"/>
    </row>
    <row r="80" spans="15:40" ht="16.5" customHeight="1" x14ac:dyDescent="0.3"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  <c r="AF80" s="37"/>
      <c r="AG80" s="37"/>
      <c r="AH80" s="37"/>
      <c r="AI80" s="37"/>
      <c r="AJ80" s="37"/>
      <c r="AK80" s="37"/>
      <c r="AL80" s="37"/>
      <c r="AM80" s="37"/>
      <c r="AN80" s="37"/>
    </row>
    <row r="81" spans="15:40" ht="16.5" customHeight="1" x14ac:dyDescent="0.3"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  <c r="AF81" s="37"/>
      <c r="AG81" s="37"/>
      <c r="AH81" s="37"/>
      <c r="AI81" s="37"/>
      <c r="AJ81" s="37"/>
      <c r="AK81" s="37"/>
      <c r="AL81" s="37"/>
      <c r="AM81" s="37"/>
      <c r="AN81" s="37"/>
    </row>
    <row r="82" spans="15:40" ht="16.5" customHeight="1" x14ac:dyDescent="0.3"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7"/>
      <c r="AJ82" s="37"/>
      <c r="AK82" s="37"/>
      <c r="AL82" s="37"/>
      <c r="AM82" s="37"/>
      <c r="AN82" s="37"/>
    </row>
    <row r="83" spans="15:40" ht="16.5" customHeight="1" x14ac:dyDescent="0.3"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37"/>
      <c r="AM83" s="37"/>
      <c r="AN83" s="37"/>
    </row>
    <row r="84" spans="15:40" ht="16.5" customHeight="1" x14ac:dyDescent="0.3"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  <c r="AF84" s="37"/>
      <c r="AG84" s="37"/>
      <c r="AH84" s="37"/>
      <c r="AI84" s="37"/>
      <c r="AJ84" s="37"/>
      <c r="AK84" s="37"/>
      <c r="AL84" s="37"/>
      <c r="AM84" s="37"/>
      <c r="AN84" s="37"/>
    </row>
    <row r="85" spans="15:40" ht="16.5" customHeight="1" x14ac:dyDescent="0.3"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  <c r="AF85" s="37"/>
      <c r="AG85" s="37"/>
      <c r="AH85" s="37"/>
      <c r="AI85" s="37"/>
      <c r="AJ85" s="37"/>
      <c r="AK85" s="37"/>
      <c r="AL85" s="37"/>
      <c r="AM85" s="37"/>
      <c r="AN85" s="37"/>
    </row>
    <row r="86" spans="15:40" ht="16.5" customHeight="1" x14ac:dyDescent="0.3"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  <c r="AF86" s="37"/>
      <c r="AG86" s="37"/>
      <c r="AH86" s="37"/>
      <c r="AI86" s="37"/>
      <c r="AJ86" s="37"/>
      <c r="AK86" s="37"/>
      <c r="AL86" s="37"/>
      <c r="AM86" s="37"/>
      <c r="AN86" s="37"/>
    </row>
    <row r="87" spans="15:40" ht="16.5" customHeight="1" x14ac:dyDescent="0.3"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  <c r="AF87" s="37"/>
      <c r="AG87" s="37"/>
      <c r="AH87" s="37"/>
      <c r="AI87" s="37"/>
      <c r="AJ87" s="37"/>
      <c r="AK87" s="37"/>
      <c r="AL87" s="37"/>
      <c r="AM87" s="37"/>
      <c r="AN87" s="37"/>
    </row>
    <row r="88" spans="15:40" ht="16.5" customHeight="1" x14ac:dyDescent="0.3"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  <c r="AF88" s="37"/>
      <c r="AG88" s="37"/>
      <c r="AH88" s="37"/>
      <c r="AI88" s="37"/>
      <c r="AJ88" s="37"/>
      <c r="AK88" s="37"/>
      <c r="AL88" s="37"/>
      <c r="AM88" s="37"/>
      <c r="AN88" s="37"/>
    </row>
    <row r="89" spans="15:40" ht="16.5" customHeight="1" x14ac:dyDescent="0.3"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  <c r="AF89" s="37"/>
      <c r="AG89" s="37"/>
      <c r="AH89" s="37"/>
      <c r="AI89" s="37"/>
      <c r="AJ89" s="37"/>
      <c r="AK89" s="37"/>
      <c r="AL89" s="37"/>
      <c r="AM89" s="37"/>
      <c r="AN89" s="37"/>
    </row>
    <row r="90" spans="15:40" ht="16.5" customHeight="1" x14ac:dyDescent="0.3"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  <c r="AF90" s="37"/>
      <c r="AG90" s="37"/>
      <c r="AH90" s="37"/>
      <c r="AI90" s="37"/>
      <c r="AJ90" s="37"/>
      <c r="AK90" s="37"/>
      <c r="AL90" s="37"/>
      <c r="AM90" s="37"/>
      <c r="AN90" s="37"/>
    </row>
    <row r="91" spans="15:40" ht="16.5" customHeight="1" x14ac:dyDescent="0.3"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  <c r="AF91" s="37"/>
      <c r="AG91" s="37"/>
      <c r="AH91" s="37"/>
      <c r="AI91" s="37"/>
      <c r="AJ91" s="37"/>
      <c r="AK91" s="37"/>
      <c r="AL91" s="37"/>
      <c r="AM91" s="37"/>
      <c r="AN91" s="37"/>
    </row>
    <row r="92" spans="15:40" ht="16.5" customHeight="1" x14ac:dyDescent="0.3"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  <c r="AF92" s="37"/>
      <c r="AG92" s="37"/>
      <c r="AH92" s="37"/>
      <c r="AI92" s="37"/>
      <c r="AJ92" s="37"/>
      <c r="AK92" s="37"/>
      <c r="AL92" s="37"/>
      <c r="AM92" s="37"/>
      <c r="AN92" s="37"/>
    </row>
    <row r="93" spans="15:40" ht="16.5" customHeight="1" x14ac:dyDescent="0.3"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  <c r="AF93" s="37"/>
      <c r="AG93" s="37"/>
      <c r="AH93" s="37"/>
      <c r="AI93" s="37"/>
      <c r="AJ93" s="37"/>
      <c r="AK93" s="37"/>
      <c r="AL93" s="37"/>
      <c r="AM93" s="37"/>
      <c r="AN93" s="37"/>
    </row>
    <row r="94" spans="15:40" ht="16.5" customHeight="1" x14ac:dyDescent="0.3"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  <c r="AD94" s="37"/>
      <c r="AE94" s="37"/>
      <c r="AF94" s="37"/>
      <c r="AG94" s="37"/>
      <c r="AH94" s="37"/>
      <c r="AI94" s="37"/>
      <c r="AJ94" s="37"/>
      <c r="AK94" s="37"/>
      <c r="AL94" s="37"/>
      <c r="AM94" s="37"/>
      <c r="AN94" s="37"/>
    </row>
    <row r="95" spans="15:40" ht="16.5" customHeight="1" x14ac:dyDescent="0.3"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  <c r="AF95" s="37"/>
      <c r="AG95" s="37"/>
      <c r="AH95" s="37"/>
      <c r="AI95" s="37"/>
      <c r="AJ95" s="37"/>
      <c r="AK95" s="37"/>
      <c r="AL95" s="37"/>
      <c r="AM95" s="37"/>
      <c r="AN95" s="37"/>
    </row>
    <row r="96" spans="15:40" ht="16.5" customHeight="1" x14ac:dyDescent="0.3"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  <c r="AF96" s="37"/>
      <c r="AG96" s="37"/>
      <c r="AH96" s="37"/>
      <c r="AI96" s="37"/>
      <c r="AJ96" s="37"/>
      <c r="AK96" s="37"/>
      <c r="AL96" s="37"/>
      <c r="AM96" s="37"/>
      <c r="AN96" s="37"/>
    </row>
    <row r="97" spans="15:40" ht="16.5" customHeight="1" x14ac:dyDescent="0.3"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  <c r="AF97" s="37"/>
      <c r="AG97" s="37"/>
      <c r="AH97" s="37"/>
      <c r="AI97" s="37"/>
      <c r="AJ97" s="37"/>
      <c r="AK97" s="37"/>
      <c r="AL97" s="37"/>
      <c r="AM97" s="37"/>
      <c r="AN97" s="37"/>
    </row>
    <row r="98" spans="15:40" ht="16.5" customHeight="1" x14ac:dyDescent="0.3"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  <c r="AD98" s="37"/>
      <c r="AE98" s="37"/>
      <c r="AF98" s="37"/>
      <c r="AG98" s="37"/>
      <c r="AH98" s="37"/>
      <c r="AI98" s="37"/>
      <c r="AJ98" s="37"/>
      <c r="AK98" s="37"/>
      <c r="AL98" s="37"/>
      <c r="AM98" s="37"/>
      <c r="AN98" s="37"/>
    </row>
    <row r="99" spans="15:40" ht="16.5" customHeight="1" x14ac:dyDescent="0.3"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  <c r="AF99" s="37"/>
      <c r="AG99" s="37"/>
      <c r="AH99" s="37"/>
      <c r="AI99" s="37"/>
      <c r="AJ99" s="37"/>
      <c r="AK99" s="37"/>
      <c r="AL99" s="37"/>
      <c r="AM99" s="37"/>
      <c r="AN99" s="37"/>
    </row>
    <row r="100" spans="15:40" ht="16.5" customHeight="1" x14ac:dyDescent="0.3"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  <c r="AF100" s="37"/>
      <c r="AG100" s="37"/>
      <c r="AH100" s="37"/>
      <c r="AI100" s="37"/>
      <c r="AJ100" s="37"/>
      <c r="AK100" s="37"/>
      <c r="AL100" s="37"/>
      <c r="AM100" s="37"/>
      <c r="AN100" s="37"/>
    </row>
  </sheetData>
  <autoFilter ref="A2:AN49" xr:uid="{00000000-0009-0000-0000-000004000000}"/>
  <mergeCells count="15">
    <mergeCell ref="AM1:AN1"/>
    <mergeCell ref="AA1:AB1"/>
    <mergeCell ref="AC1:AD1"/>
    <mergeCell ref="AE1:AF1"/>
    <mergeCell ref="AG1:AH1"/>
    <mergeCell ref="AI1:AJ1"/>
    <mergeCell ref="AK1:AL1"/>
    <mergeCell ref="W1:X1"/>
    <mergeCell ref="Y1:Z1"/>
    <mergeCell ref="U1:V1"/>
    <mergeCell ref="E1:F1"/>
    <mergeCell ref="K1:M1"/>
    <mergeCell ref="O1:P1"/>
    <mergeCell ref="Q1:R1"/>
    <mergeCell ref="S1:T1"/>
  </mergeCells>
  <phoneticPr fontId="13" type="noConversion"/>
  <conditionalFormatting sqref="N27:N4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2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4:J45 I25:J33 I24 I3:J23 I38:I43">
    <cfRule type="timePeriod" dxfId="4" priority="3" timePeriod="yesterday">
      <formula>FLOOR(I3,1)=TODAY()-1</formula>
    </cfRule>
  </conditionalFormatting>
  <conditionalFormatting sqref="N2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4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:G3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4:J34">
    <cfRule type="timePeriod" dxfId="3" priority="8" timePeriod="yesterday">
      <formula>FLOOR(I34,1)=TODAY()-1</formula>
    </cfRule>
  </conditionalFormatting>
  <conditionalFormatting sqref="G3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5">
    <cfRule type="timePeriod" dxfId="2" priority="10" timePeriod="yesterday">
      <formula>FLOOR(I35,1)=TODAY()-1</formula>
    </cfRule>
  </conditionalFormatting>
  <conditionalFormatting sqref="J35">
    <cfRule type="timePeriod" dxfId="1" priority="11" timePeriod="yesterday">
      <formula>FLOOR(J35,1)=TODAY()-1</formula>
    </cfRule>
  </conditionalFormatting>
  <conditionalFormatting sqref="G3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4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6">
    <cfRule type="timePeriod" dxfId="0" priority="14" timePeriod="yesterday">
      <formula>FLOOR(J36,1)=TODAY()-1</formula>
    </cfRule>
  </conditionalFormatting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Y100"/>
  <sheetViews>
    <sheetView workbookViewId="0">
      <selection activeCell="M4" sqref="M4"/>
    </sheetView>
  </sheetViews>
  <sheetFormatPr defaultColWidth="12.625" defaultRowHeight="15" customHeight="1" x14ac:dyDescent="0.3"/>
  <cols>
    <col min="1" max="1" width="7.625" customWidth="1"/>
    <col min="2" max="2" width="22.25" customWidth="1"/>
    <col min="3" max="3" width="16.5" customWidth="1"/>
    <col min="4" max="7" width="7.625" customWidth="1"/>
    <col min="8" max="8" width="11" customWidth="1"/>
    <col min="9" max="9" width="9" customWidth="1"/>
    <col min="10" max="10" width="10.875" customWidth="1"/>
    <col min="11" max="11" width="7.625" customWidth="1"/>
    <col min="12" max="24" width="6.625" customWidth="1"/>
    <col min="25" max="25" width="7.875" customWidth="1"/>
  </cols>
  <sheetData>
    <row r="1" spans="1:25" ht="16.5" customHeight="1" x14ac:dyDescent="0.3">
      <c r="A1" s="1" t="s">
        <v>46</v>
      </c>
      <c r="B1" s="1" t="s">
        <v>47</v>
      </c>
      <c r="C1" s="1" t="s">
        <v>2</v>
      </c>
      <c r="D1" s="1" t="s">
        <v>48</v>
      </c>
      <c r="E1" s="376" t="s">
        <v>49</v>
      </c>
      <c r="F1" s="377"/>
      <c r="G1" s="1" t="s">
        <v>50</v>
      </c>
      <c r="H1" s="376" t="s">
        <v>51</v>
      </c>
      <c r="I1" s="538"/>
      <c r="J1" s="377"/>
      <c r="K1" s="14" t="s">
        <v>52</v>
      </c>
      <c r="L1" s="539">
        <v>7</v>
      </c>
      <c r="M1" s="540"/>
      <c r="N1" s="539">
        <f>L1+1</f>
        <v>8</v>
      </c>
      <c r="O1" s="540"/>
      <c r="P1" s="539">
        <f>N1+1</f>
        <v>9</v>
      </c>
      <c r="Q1" s="540"/>
      <c r="R1" s="539">
        <f>P1+1</f>
        <v>10</v>
      </c>
      <c r="S1" s="540"/>
      <c r="T1" s="539">
        <f>R1+1</f>
        <v>11</v>
      </c>
      <c r="U1" s="540"/>
      <c r="V1" s="539">
        <f>T1+1</f>
        <v>12</v>
      </c>
      <c r="W1" s="540"/>
      <c r="X1" s="537" t="s">
        <v>54</v>
      </c>
      <c r="Y1" s="377"/>
    </row>
    <row r="2" spans="1:25" ht="16.5" customHeight="1" x14ac:dyDescent="0.3">
      <c r="A2" s="1" t="s">
        <v>46</v>
      </c>
      <c r="B2" s="1" t="s">
        <v>47</v>
      </c>
      <c r="C2" s="1" t="s">
        <v>2</v>
      </c>
      <c r="D2" s="1" t="s">
        <v>48</v>
      </c>
      <c r="E2" s="1" t="s">
        <v>55</v>
      </c>
      <c r="F2" s="1" t="s">
        <v>56</v>
      </c>
      <c r="G2" s="1" t="s">
        <v>50</v>
      </c>
      <c r="H2" s="1" t="s">
        <v>60</v>
      </c>
      <c r="I2" s="1" t="s">
        <v>61</v>
      </c>
      <c r="J2" s="1" t="s">
        <v>62</v>
      </c>
      <c r="K2" s="14" t="s">
        <v>52</v>
      </c>
      <c r="L2" s="15" t="s">
        <v>52</v>
      </c>
      <c r="M2" s="16" t="s">
        <v>63</v>
      </c>
      <c r="N2" s="15" t="s">
        <v>52</v>
      </c>
      <c r="O2" s="16" t="s">
        <v>63</v>
      </c>
      <c r="P2" s="15" t="s">
        <v>52</v>
      </c>
      <c r="Q2" s="16" t="s">
        <v>63</v>
      </c>
      <c r="R2" s="15" t="s">
        <v>52</v>
      </c>
      <c r="S2" s="16" t="s">
        <v>63</v>
      </c>
      <c r="T2" s="15" t="s">
        <v>52</v>
      </c>
      <c r="U2" s="16" t="s">
        <v>63</v>
      </c>
      <c r="V2" s="15" t="s">
        <v>52</v>
      </c>
      <c r="W2" s="16" t="s">
        <v>63</v>
      </c>
      <c r="X2" s="17" t="s">
        <v>52</v>
      </c>
      <c r="Y2" s="17" t="s">
        <v>63</v>
      </c>
    </row>
    <row r="3" spans="1:25" ht="33" customHeight="1" x14ac:dyDescent="0.3">
      <c r="A3" s="3">
        <v>1</v>
      </c>
      <c r="B3" s="8" t="s">
        <v>11</v>
      </c>
      <c r="C3" s="8" t="s">
        <v>64</v>
      </c>
      <c r="D3" s="3" t="s">
        <v>65</v>
      </c>
      <c r="E3" s="3" t="s">
        <v>66</v>
      </c>
      <c r="F3" s="3" t="s">
        <v>67</v>
      </c>
      <c r="G3" s="19">
        <v>5</v>
      </c>
      <c r="H3" s="5">
        <v>40000</v>
      </c>
      <c r="I3" s="5">
        <f t="shared" ref="I3:I20" si="0">ROUNDDOWN(H3*10%,1)</f>
        <v>4000</v>
      </c>
      <c r="J3" s="7">
        <f t="shared" ref="J3:J29" si="1">SUM(H3:I3)</f>
        <v>44000</v>
      </c>
      <c r="K3" s="22">
        <v>5</v>
      </c>
      <c r="L3" s="23" t="s">
        <v>118</v>
      </c>
      <c r="M3" s="24" t="s">
        <v>118</v>
      </c>
      <c r="N3" s="23" t="s">
        <v>150</v>
      </c>
      <c r="O3" s="24">
        <v>8.11</v>
      </c>
      <c r="P3" s="23"/>
      <c r="Q3" s="24"/>
      <c r="R3" s="23"/>
      <c r="S3" s="24"/>
      <c r="T3" s="23">
        <v>11.1</v>
      </c>
      <c r="U3" s="24">
        <v>11.2</v>
      </c>
      <c r="V3" s="23" t="s">
        <v>294</v>
      </c>
      <c r="W3" s="24" t="s">
        <v>295</v>
      </c>
      <c r="X3" s="27"/>
      <c r="Y3" s="27"/>
    </row>
    <row r="4" spans="1:25" ht="33" customHeight="1" x14ac:dyDescent="0.3">
      <c r="A4" s="3">
        <v>2</v>
      </c>
      <c r="B4" s="8" t="s">
        <v>296</v>
      </c>
      <c r="C4" s="8"/>
      <c r="D4" s="28" t="s">
        <v>70</v>
      </c>
      <c r="E4" s="3"/>
      <c r="F4" s="3"/>
      <c r="G4" s="19"/>
      <c r="H4" s="5">
        <v>100000</v>
      </c>
      <c r="I4" s="5">
        <f t="shared" si="0"/>
        <v>10000</v>
      </c>
      <c r="J4" s="7">
        <f t="shared" si="1"/>
        <v>110000</v>
      </c>
      <c r="K4" s="22">
        <v>10</v>
      </c>
      <c r="L4" s="23" t="s">
        <v>161</v>
      </c>
      <c r="M4" s="24">
        <v>7.12</v>
      </c>
      <c r="N4" s="23">
        <v>8.14</v>
      </c>
      <c r="O4" s="24">
        <v>8.17</v>
      </c>
      <c r="P4" s="23"/>
      <c r="Q4" s="24"/>
      <c r="R4" s="23"/>
      <c r="S4" s="24"/>
      <c r="T4" s="23">
        <v>11.13</v>
      </c>
      <c r="U4" s="24">
        <v>11.13</v>
      </c>
      <c r="V4" s="23" t="s">
        <v>188</v>
      </c>
      <c r="W4" s="24" t="s">
        <v>188</v>
      </c>
      <c r="X4" s="27"/>
      <c r="Y4" s="27"/>
    </row>
    <row r="5" spans="1:25" ht="33" customHeight="1" x14ac:dyDescent="0.3">
      <c r="A5" s="3">
        <v>3</v>
      </c>
      <c r="B5" s="8" t="s">
        <v>14</v>
      </c>
      <c r="C5" s="8" t="s">
        <v>74</v>
      </c>
      <c r="D5" s="3" t="s">
        <v>65</v>
      </c>
      <c r="E5" s="3" t="s">
        <v>66</v>
      </c>
      <c r="F5" s="3" t="s">
        <v>67</v>
      </c>
      <c r="G5" s="19">
        <v>5</v>
      </c>
      <c r="H5" s="5">
        <v>150000</v>
      </c>
      <c r="I5" s="5">
        <f t="shared" si="0"/>
        <v>15000</v>
      </c>
      <c r="J5" s="7">
        <f t="shared" si="1"/>
        <v>165000</v>
      </c>
      <c r="K5" s="22">
        <v>10</v>
      </c>
      <c r="L5" s="23">
        <v>7.1</v>
      </c>
      <c r="M5" s="24">
        <v>7.12</v>
      </c>
      <c r="N5" s="23" t="s">
        <v>150</v>
      </c>
      <c r="O5" s="24">
        <v>8.11</v>
      </c>
      <c r="P5" s="23"/>
      <c r="Q5" s="24"/>
      <c r="R5" s="23"/>
      <c r="S5" s="24"/>
      <c r="T5" s="23">
        <v>11.1</v>
      </c>
      <c r="U5" s="24">
        <v>11.1</v>
      </c>
      <c r="V5" s="23" t="s">
        <v>297</v>
      </c>
      <c r="W5" s="24" t="s">
        <v>295</v>
      </c>
      <c r="X5" s="27"/>
      <c r="Y5" s="27"/>
    </row>
    <row r="6" spans="1:25" ht="33" customHeight="1" x14ac:dyDescent="0.3">
      <c r="A6" s="3">
        <v>26</v>
      </c>
      <c r="B6" s="3" t="s">
        <v>24</v>
      </c>
      <c r="C6" s="3" t="s">
        <v>75</v>
      </c>
      <c r="D6" s="28" t="s">
        <v>70</v>
      </c>
      <c r="E6" s="3" t="s">
        <v>66</v>
      </c>
      <c r="F6" s="3" t="s">
        <v>67</v>
      </c>
      <c r="G6" s="31" t="s">
        <v>298</v>
      </c>
      <c r="H6" s="5">
        <v>100000</v>
      </c>
      <c r="I6" s="5">
        <f t="shared" si="0"/>
        <v>10000</v>
      </c>
      <c r="J6" s="7">
        <f t="shared" si="1"/>
        <v>110000</v>
      </c>
      <c r="K6" s="22">
        <v>10</v>
      </c>
      <c r="L6" s="23"/>
      <c r="M6" s="24"/>
      <c r="N6" s="23"/>
      <c r="O6" s="24"/>
      <c r="P6" s="23"/>
      <c r="Q6" s="24"/>
      <c r="R6" s="23"/>
      <c r="S6" s="24"/>
      <c r="T6" s="53"/>
      <c r="U6" s="54"/>
      <c r="V6" s="23" t="s">
        <v>297</v>
      </c>
      <c r="W6" s="24" t="s">
        <v>299</v>
      </c>
      <c r="X6" s="27"/>
      <c r="Y6" s="27"/>
    </row>
    <row r="7" spans="1:25" ht="33" customHeight="1" x14ac:dyDescent="0.3">
      <c r="A7" s="3">
        <v>4</v>
      </c>
      <c r="B7" s="8" t="s">
        <v>39</v>
      </c>
      <c r="C7" s="8" t="s">
        <v>82</v>
      </c>
      <c r="D7" s="28" t="s">
        <v>70</v>
      </c>
      <c r="E7" s="3" t="s">
        <v>66</v>
      </c>
      <c r="F7" s="3" t="s">
        <v>67</v>
      </c>
      <c r="G7" s="19">
        <v>31</v>
      </c>
      <c r="H7" s="5">
        <v>70000</v>
      </c>
      <c r="I7" s="5">
        <f t="shared" si="0"/>
        <v>7000</v>
      </c>
      <c r="J7" s="7">
        <f t="shared" si="1"/>
        <v>77000</v>
      </c>
      <c r="K7" s="22">
        <v>15</v>
      </c>
      <c r="L7" s="23"/>
      <c r="M7" s="24">
        <v>7.25</v>
      </c>
      <c r="N7" s="23" t="s">
        <v>300</v>
      </c>
      <c r="O7" s="24" t="s">
        <v>300</v>
      </c>
      <c r="P7" s="23"/>
      <c r="Q7" s="24"/>
      <c r="R7" s="23"/>
      <c r="S7" s="24"/>
      <c r="T7" s="23">
        <v>11.17</v>
      </c>
      <c r="U7" s="24">
        <v>11.2</v>
      </c>
      <c r="V7" s="23" t="s">
        <v>188</v>
      </c>
      <c r="W7" s="24" t="s">
        <v>188</v>
      </c>
      <c r="X7" s="27"/>
      <c r="Y7" s="27"/>
    </row>
    <row r="8" spans="1:25" ht="33" customHeight="1" x14ac:dyDescent="0.3">
      <c r="A8" s="3">
        <v>5</v>
      </c>
      <c r="B8" s="8" t="s">
        <v>40</v>
      </c>
      <c r="C8" s="8" t="s">
        <v>83</v>
      </c>
      <c r="D8" s="28" t="s">
        <v>70</v>
      </c>
      <c r="E8" s="3" t="s">
        <v>66</v>
      </c>
      <c r="F8" s="3" t="s">
        <v>67</v>
      </c>
      <c r="G8" s="19">
        <v>31</v>
      </c>
      <c r="H8" s="5">
        <v>100000</v>
      </c>
      <c r="I8" s="5">
        <f t="shared" si="0"/>
        <v>10000</v>
      </c>
      <c r="J8" s="7">
        <f t="shared" si="1"/>
        <v>110000</v>
      </c>
      <c r="K8" s="22">
        <v>15</v>
      </c>
      <c r="L8" s="23"/>
      <c r="M8" s="24">
        <v>7.25</v>
      </c>
      <c r="N8" s="23"/>
      <c r="O8" s="24"/>
      <c r="P8" s="23"/>
      <c r="Q8" s="24"/>
      <c r="R8" s="23"/>
      <c r="S8" s="24"/>
      <c r="T8" s="23">
        <v>11.17</v>
      </c>
      <c r="U8" s="24">
        <v>11.2</v>
      </c>
      <c r="V8" s="23" t="s">
        <v>188</v>
      </c>
      <c r="W8" s="24" t="s">
        <v>188</v>
      </c>
      <c r="X8" s="27"/>
      <c r="Y8" s="27"/>
    </row>
    <row r="9" spans="1:25" ht="33" customHeight="1" x14ac:dyDescent="0.3">
      <c r="A9" s="3">
        <v>6</v>
      </c>
      <c r="B9" s="8" t="s">
        <v>34</v>
      </c>
      <c r="C9" s="8" t="s">
        <v>81</v>
      </c>
      <c r="D9" s="28" t="s">
        <v>70</v>
      </c>
      <c r="E9" s="3" t="s">
        <v>301</v>
      </c>
      <c r="F9" s="3" t="s">
        <v>302</v>
      </c>
      <c r="G9" s="19" t="s">
        <v>301</v>
      </c>
      <c r="H9" s="5">
        <v>100000</v>
      </c>
      <c r="I9" s="5">
        <f t="shared" si="0"/>
        <v>10000</v>
      </c>
      <c r="J9" s="7">
        <f t="shared" si="1"/>
        <v>110000</v>
      </c>
      <c r="K9" s="22">
        <v>15</v>
      </c>
      <c r="L9" s="23"/>
      <c r="M9" s="24">
        <v>7.25</v>
      </c>
      <c r="N9" s="23" t="s">
        <v>300</v>
      </c>
      <c r="O9" s="24">
        <v>8.18</v>
      </c>
      <c r="P9" s="23"/>
      <c r="Q9" s="24"/>
      <c r="R9" s="23"/>
      <c r="S9" s="24"/>
      <c r="T9" s="23">
        <v>11.17</v>
      </c>
      <c r="U9" s="24">
        <v>11.2</v>
      </c>
      <c r="V9" s="23" t="s">
        <v>188</v>
      </c>
      <c r="W9" s="24" t="s">
        <v>188</v>
      </c>
      <c r="X9" s="27"/>
      <c r="Y9" s="27"/>
    </row>
    <row r="10" spans="1:25" ht="33" customHeight="1" x14ac:dyDescent="0.3">
      <c r="A10" s="3">
        <v>7</v>
      </c>
      <c r="B10" s="8" t="s">
        <v>303</v>
      </c>
      <c r="C10" s="8" t="s">
        <v>84</v>
      </c>
      <c r="D10" s="28" t="s">
        <v>70</v>
      </c>
      <c r="E10" s="3" t="s">
        <v>66</v>
      </c>
      <c r="F10" s="3" t="s">
        <v>67</v>
      </c>
      <c r="G10" s="19" t="s">
        <v>304</v>
      </c>
      <c r="H10" s="5">
        <v>100000</v>
      </c>
      <c r="I10" s="5">
        <f t="shared" si="0"/>
        <v>10000</v>
      </c>
      <c r="J10" s="7">
        <f t="shared" si="1"/>
        <v>110000</v>
      </c>
      <c r="K10" s="22">
        <v>15</v>
      </c>
      <c r="L10" s="23"/>
      <c r="M10" s="24"/>
      <c r="N10" s="23"/>
      <c r="O10" s="24"/>
      <c r="P10" s="23"/>
      <c r="Q10" s="24"/>
      <c r="R10" s="23"/>
      <c r="S10" s="24"/>
      <c r="T10" s="23">
        <v>11.17</v>
      </c>
      <c r="U10" s="24">
        <v>11.2</v>
      </c>
      <c r="V10" s="23" t="s">
        <v>188</v>
      </c>
      <c r="W10" s="24" t="s">
        <v>188</v>
      </c>
      <c r="X10" s="27"/>
      <c r="Y10" s="27"/>
    </row>
    <row r="11" spans="1:25" ht="33" customHeight="1" x14ac:dyDescent="0.3">
      <c r="A11" s="3">
        <v>8</v>
      </c>
      <c r="B11" s="8" t="s">
        <v>41</v>
      </c>
      <c r="C11" s="8" t="s">
        <v>91</v>
      </c>
      <c r="D11" s="28" t="s">
        <v>70</v>
      </c>
      <c r="E11" s="3" t="s">
        <v>66</v>
      </c>
      <c r="F11" s="3" t="s">
        <v>67</v>
      </c>
      <c r="G11" s="19">
        <v>31</v>
      </c>
      <c r="H11" s="5">
        <v>70000</v>
      </c>
      <c r="I11" s="5">
        <f t="shared" si="0"/>
        <v>7000</v>
      </c>
      <c r="J11" s="7">
        <f t="shared" si="1"/>
        <v>77000</v>
      </c>
      <c r="K11" s="22">
        <v>20</v>
      </c>
      <c r="L11" s="23"/>
      <c r="M11" s="24">
        <v>7.25</v>
      </c>
      <c r="N11" s="23">
        <v>8.23</v>
      </c>
      <c r="O11" s="24" t="s">
        <v>262</v>
      </c>
      <c r="P11" s="23"/>
      <c r="Q11" s="24"/>
      <c r="R11" s="23"/>
      <c r="S11" s="24"/>
      <c r="T11" s="23">
        <v>11.22</v>
      </c>
      <c r="U11" s="24">
        <v>11.22</v>
      </c>
      <c r="V11" s="23" t="s">
        <v>305</v>
      </c>
      <c r="W11" s="24" t="s">
        <v>306</v>
      </c>
      <c r="X11" s="27"/>
      <c r="Y11" s="27"/>
    </row>
    <row r="12" spans="1:25" ht="33" customHeight="1" x14ac:dyDescent="0.3">
      <c r="A12" s="3">
        <v>9</v>
      </c>
      <c r="B12" s="8" t="s">
        <v>223</v>
      </c>
      <c r="C12" s="8" t="s">
        <v>224</v>
      </c>
      <c r="D12" s="28" t="s">
        <v>70</v>
      </c>
      <c r="E12" s="3">
        <v>7</v>
      </c>
      <c r="F12" s="3">
        <v>6</v>
      </c>
      <c r="G12" s="19">
        <v>6</v>
      </c>
      <c r="H12" s="5">
        <v>100000</v>
      </c>
      <c r="I12" s="5">
        <f t="shared" si="0"/>
        <v>10000</v>
      </c>
      <c r="J12" s="7">
        <f t="shared" si="1"/>
        <v>110000</v>
      </c>
      <c r="K12" s="22">
        <v>20</v>
      </c>
      <c r="L12" s="23"/>
      <c r="M12" s="24">
        <v>7.25</v>
      </c>
      <c r="N12" s="23">
        <v>8.23</v>
      </c>
      <c r="O12" s="24" t="s">
        <v>262</v>
      </c>
      <c r="P12" s="23"/>
      <c r="Q12" s="24"/>
      <c r="R12" s="23"/>
      <c r="S12" s="24"/>
      <c r="T12" s="23">
        <v>11.22</v>
      </c>
      <c r="U12" s="24">
        <v>11.22</v>
      </c>
      <c r="V12" s="23" t="s">
        <v>305</v>
      </c>
      <c r="W12" s="24" t="s">
        <v>306</v>
      </c>
      <c r="X12" s="27"/>
      <c r="Y12" s="27"/>
    </row>
    <row r="13" spans="1:25" ht="33" customHeight="1" x14ac:dyDescent="0.3">
      <c r="A13" s="3">
        <v>10</v>
      </c>
      <c r="B13" s="8" t="s">
        <v>42</v>
      </c>
      <c r="C13" s="8" t="s">
        <v>92</v>
      </c>
      <c r="D13" s="28" t="s">
        <v>70</v>
      </c>
      <c r="E13" s="3" t="s">
        <v>66</v>
      </c>
      <c r="F13" s="3" t="s">
        <v>67</v>
      </c>
      <c r="G13" s="19" t="s">
        <v>304</v>
      </c>
      <c r="H13" s="5">
        <v>100000</v>
      </c>
      <c r="I13" s="5">
        <f t="shared" si="0"/>
        <v>10000</v>
      </c>
      <c r="J13" s="7">
        <f t="shared" si="1"/>
        <v>110000</v>
      </c>
      <c r="K13" s="22">
        <v>20</v>
      </c>
      <c r="L13" s="23">
        <v>7.27</v>
      </c>
      <c r="M13" s="24">
        <v>7.27</v>
      </c>
      <c r="N13" s="23">
        <v>8.23</v>
      </c>
      <c r="O13" s="24" t="s">
        <v>262</v>
      </c>
      <c r="P13" s="23"/>
      <c r="Q13" s="24"/>
      <c r="R13" s="23"/>
      <c r="S13" s="24"/>
      <c r="T13" s="23">
        <v>11.22</v>
      </c>
      <c r="U13" s="24">
        <v>11.22</v>
      </c>
      <c r="V13" s="23" t="s">
        <v>305</v>
      </c>
      <c r="W13" s="24" t="s">
        <v>306</v>
      </c>
      <c r="X13" s="27"/>
      <c r="Y13" s="27"/>
    </row>
    <row r="14" spans="1:25" ht="33" customHeight="1" x14ac:dyDescent="0.3">
      <c r="A14" s="3">
        <v>11</v>
      </c>
      <c r="B14" s="8" t="s">
        <v>16</v>
      </c>
      <c r="C14" s="8" t="s">
        <v>89</v>
      </c>
      <c r="D14" s="28" t="s">
        <v>70</v>
      </c>
      <c r="E14" s="3" t="s">
        <v>66</v>
      </c>
      <c r="F14" s="3" t="s">
        <v>67</v>
      </c>
      <c r="G14" s="19">
        <v>5</v>
      </c>
      <c r="H14" s="5">
        <v>110000</v>
      </c>
      <c r="I14" s="5">
        <f t="shared" si="0"/>
        <v>11000</v>
      </c>
      <c r="J14" s="7">
        <f t="shared" si="1"/>
        <v>121000</v>
      </c>
      <c r="K14" s="22">
        <v>20</v>
      </c>
      <c r="L14" s="23"/>
      <c r="M14" s="24">
        <v>7.25</v>
      </c>
      <c r="N14" s="23">
        <v>8.23</v>
      </c>
      <c r="O14" s="24" t="s">
        <v>262</v>
      </c>
      <c r="P14" s="23"/>
      <c r="Q14" s="24"/>
      <c r="R14" s="23"/>
      <c r="S14" s="24"/>
      <c r="T14" s="23">
        <v>11.22</v>
      </c>
      <c r="U14" s="24">
        <v>11.22</v>
      </c>
      <c r="V14" s="23" t="s">
        <v>305</v>
      </c>
      <c r="W14" s="24" t="s">
        <v>306</v>
      </c>
      <c r="X14" s="27"/>
      <c r="Y14" s="27"/>
    </row>
    <row r="15" spans="1:25" ht="33" customHeight="1" x14ac:dyDescent="0.3">
      <c r="A15" s="3">
        <v>12</v>
      </c>
      <c r="B15" s="8" t="s">
        <v>36</v>
      </c>
      <c r="C15" s="8" t="s">
        <v>90</v>
      </c>
      <c r="D15" s="28" t="s">
        <v>70</v>
      </c>
      <c r="E15" s="3" t="s">
        <v>307</v>
      </c>
      <c r="F15" s="3" t="s">
        <v>308</v>
      </c>
      <c r="G15" s="19" t="s">
        <v>307</v>
      </c>
      <c r="H15" s="5">
        <v>100000</v>
      </c>
      <c r="I15" s="5">
        <f t="shared" si="0"/>
        <v>10000</v>
      </c>
      <c r="J15" s="7">
        <f t="shared" si="1"/>
        <v>110000</v>
      </c>
      <c r="K15" s="22">
        <v>20</v>
      </c>
      <c r="L15" s="23"/>
      <c r="M15" s="24"/>
      <c r="N15" s="23"/>
      <c r="O15" s="24"/>
      <c r="P15" s="23"/>
      <c r="Q15" s="24"/>
      <c r="R15" s="23"/>
      <c r="S15" s="24"/>
      <c r="T15" s="23">
        <v>11.22</v>
      </c>
      <c r="U15" s="24">
        <v>11.22</v>
      </c>
      <c r="V15" s="23" t="s">
        <v>305</v>
      </c>
      <c r="W15" s="24" t="s">
        <v>306</v>
      </c>
      <c r="X15" s="27"/>
      <c r="Y15" s="27"/>
    </row>
    <row r="16" spans="1:25" ht="33" customHeight="1" x14ac:dyDescent="0.3">
      <c r="A16" s="3">
        <v>14</v>
      </c>
      <c r="B16" s="8" t="s">
        <v>241</v>
      </c>
      <c r="C16" s="8" t="s">
        <v>242</v>
      </c>
      <c r="D16" s="28" t="s">
        <v>70</v>
      </c>
      <c r="E16" s="3">
        <v>10</v>
      </c>
      <c r="F16" s="3">
        <v>9</v>
      </c>
      <c r="G16" s="19">
        <v>10</v>
      </c>
      <c r="H16" s="5">
        <v>70000</v>
      </c>
      <c r="I16" s="5">
        <f t="shared" si="0"/>
        <v>7000</v>
      </c>
      <c r="J16" s="7">
        <f t="shared" si="1"/>
        <v>77000</v>
      </c>
      <c r="K16" s="22">
        <v>25</v>
      </c>
      <c r="L16" s="23">
        <v>7.27</v>
      </c>
      <c r="M16" s="24">
        <v>7.27</v>
      </c>
      <c r="N16" s="23"/>
      <c r="O16" s="24"/>
      <c r="P16" s="23"/>
      <c r="Q16" s="24"/>
      <c r="R16" s="23"/>
      <c r="S16" s="24"/>
      <c r="T16" s="23">
        <v>11.29</v>
      </c>
      <c r="U16" s="24">
        <v>12.5</v>
      </c>
      <c r="V16" s="23" t="s">
        <v>309</v>
      </c>
      <c r="W16" s="24" t="s">
        <v>310</v>
      </c>
      <c r="X16" s="27"/>
      <c r="Y16" s="27"/>
    </row>
    <row r="17" spans="1:25" ht="33" customHeight="1" x14ac:dyDescent="0.3">
      <c r="A17" s="3">
        <v>15</v>
      </c>
      <c r="B17" s="8" t="s">
        <v>43</v>
      </c>
      <c r="C17" s="34" t="s">
        <v>98</v>
      </c>
      <c r="D17" s="28" t="s">
        <v>70</v>
      </c>
      <c r="E17" s="3" t="s">
        <v>66</v>
      </c>
      <c r="F17" s="3" t="s">
        <v>67</v>
      </c>
      <c r="G17" s="19" t="s">
        <v>304</v>
      </c>
      <c r="H17" s="5">
        <v>100000</v>
      </c>
      <c r="I17" s="5">
        <f t="shared" si="0"/>
        <v>10000</v>
      </c>
      <c r="J17" s="7">
        <f t="shared" si="1"/>
        <v>110000</v>
      </c>
      <c r="K17" s="22">
        <v>25</v>
      </c>
      <c r="L17" s="23">
        <v>7.2</v>
      </c>
      <c r="M17" s="24">
        <v>8.3000000000000007</v>
      </c>
      <c r="N17" s="23"/>
      <c r="O17" s="24"/>
      <c r="P17" s="23"/>
      <c r="Q17" s="24"/>
      <c r="R17" s="23"/>
      <c r="S17" s="24"/>
      <c r="T17" s="23">
        <v>11.29</v>
      </c>
      <c r="U17" s="24">
        <v>12.5</v>
      </c>
      <c r="V17" s="23" t="s">
        <v>311</v>
      </c>
      <c r="W17" s="24" t="s">
        <v>312</v>
      </c>
      <c r="X17" s="27"/>
      <c r="Y17" s="27"/>
    </row>
    <row r="18" spans="1:25" ht="33" customHeight="1" x14ac:dyDescent="0.3">
      <c r="A18" s="3">
        <v>17</v>
      </c>
      <c r="B18" s="8" t="s">
        <v>17</v>
      </c>
      <c r="C18" s="8" t="s">
        <v>94</v>
      </c>
      <c r="D18" s="28" t="s">
        <v>70</v>
      </c>
      <c r="E18" s="3" t="s">
        <v>66</v>
      </c>
      <c r="F18" s="3" t="s">
        <v>67</v>
      </c>
      <c r="G18" s="19" t="s">
        <v>313</v>
      </c>
      <c r="H18" s="5">
        <v>181818</v>
      </c>
      <c r="I18" s="5">
        <f t="shared" si="0"/>
        <v>18181.8</v>
      </c>
      <c r="J18" s="7">
        <f t="shared" si="1"/>
        <v>199999.8</v>
      </c>
      <c r="K18" s="22">
        <v>25</v>
      </c>
      <c r="L18" s="23">
        <v>8.1999999999999993</v>
      </c>
      <c r="M18" s="24" t="s">
        <v>314</v>
      </c>
      <c r="N18" s="23"/>
      <c r="O18" s="24"/>
      <c r="P18" s="23"/>
      <c r="Q18" s="24"/>
      <c r="R18" s="23"/>
      <c r="S18" s="24"/>
      <c r="T18" s="23">
        <v>11.29</v>
      </c>
      <c r="U18" s="24">
        <v>12.5</v>
      </c>
      <c r="V18" s="23" t="s">
        <v>309</v>
      </c>
      <c r="W18" s="24" t="s">
        <v>310</v>
      </c>
      <c r="X18" s="27"/>
      <c r="Y18" s="27"/>
    </row>
    <row r="19" spans="1:25" ht="33" customHeight="1" x14ac:dyDescent="0.3">
      <c r="A19" s="3">
        <v>13</v>
      </c>
      <c r="B19" s="8" t="s">
        <v>37</v>
      </c>
      <c r="C19" s="8" t="s">
        <v>96</v>
      </c>
      <c r="D19" s="3" t="s">
        <v>65</v>
      </c>
      <c r="E19" s="3">
        <v>26</v>
      </c>
      <c r="F19" s="3">
        <v>25</v>
      </c>
      <c r="G19" s="19">
        <v>25</v>
      </c>
      <c r="H19" s="5">
        <v>50000</v>
      </c>
      <c r="I19" s="5">
        <f t="shared" si="0"/>
        <v>5000</v>
      </c>
      <c r="J19" s="7">
        <f t="shared" si="1"/>
        <v>55000</v>
      </c>
      <c r="K19" s="22">
        <v>25</v>
      </c>
      <c r="L19" s="23">
        <v>7.27</v>
      </c>
      <c r="M19" s="24">
        <v>7.27</v>
      </c>
      <c r="N19" s="23"/>
      <c r="O19" s="24"/>
      <c r="P19" s="23"/>
      <c r="Q19" s="24"/>
      <c r="R19" s="23"/>
      <c r="S19" s="24"/>
      <c r="T19" s="23">
        <v>11.22</v>
      </c>
      <c r="U19" s="24">
        <v>11.22</v>
      </c>
      <c r="V19" s="23" t="s">
        <v>310</v>
      </c>
      <c r="W19" s="24" t="s">
        <v>310</v>
      </c>
      <c r="X19" s="27"/>
      <c r="Y19" s="27"/>
    </row>
    <row r="20" spans="1:25" ht="33" customHeight="1" x14ac:dyDescent="0.3">
      <c r="A20" s="3">
        <v>16</v>
      </c>
      <c r="B20" s="8" t="s">
        <v>315</v>
      </c>
      <c r="C20" s="8"/>
      <c r="D20" s="3" t="s">
        <v>65</v>
      </c>
      <c r="E20" s="3"/>
      <c r="F20" s="3"/>
      <c r="G20" s="19"/>
      <c r="H20" s="5">
        <v>100000</v>
      </c>
      <c r="I20" s="5">
        <f t="shared" si="0"/>
        <v>10000</v>
      </c>
      <c r="J20" s="7">
        <f t="shared" si="1"/>
        <v>110000</v>
      </c>
      <c r="K20" s="22">
        <v>25</v>
      </c>
      <c r="L20" s="23" t="s">
        <v>261</v>
      </c>
      <c r="M20" s="24" t="s">
        <v>314</v>
      </c>
      <c r="N20" s="23"/>
      <c r="O20" s="24"/>
      <c r="P20" s="23"/>
      <c r="Q20" s="24"/>
      <c r="R20" s="23"/>
      <c r="S20" s="24"/>
      <c r="T20" s="23">
        <v>11.27</v>
      </c>
      <c r="U20" s="24">
        <v>11.27</v>
      </c>
      <c r="V20" s="23" t="s">
        <v>309</v>
      </c>
      <c r="W20" s="24" t="s">
        <v>309</v>
      </c>
      <c r="X20" s="27"/>
      <c r="Y20" s="27"/>
    </row>
    <row r="21" spans="1:25" ht="33" customHeight="1" x14ac:dyDescent="0.3">
      <c r="A21" s="3">
        <v>18</v>
      </c>
      <c r="B21" s="8" t="s">
        <v>9</v>
      </c>
      <c r="C21" s="8"/>
      <c r="D21" s="3" t="s">
        <v>65</v>
      </c>
      <c r="E21" s="3"/>
      <c r="F21" s="3"/>
      <c r="G21" s="19"/>
      <c r="H21" s="5">
        <v>100000</v>
      </c>
      <c r="I21" s="5"/>
      <c r="J21" s="7">
        <f t="shared" si="1"/>
        <v>100000</v>
      </c>
      <c r="K21" s="22">
        <v>25</v>
      </c>
      <c r="L21" s="23"/>
      <c r="M21" s="24"/>
      <c r="N21" s="23"/>
      <c r="O21" s="24"/>
      <c r="P21" s="23"/>
      <c r="Q21" s="24"/>
      <c r="R21" s="23"/>
      <c r="S21" s="24"/>
      <c r="T21" s="23"/>
      <c r="U21" s="24"/>
      <c r="V21" s="23"/>
      <c r="W21" s="24"/>
      <c r="X21" s="27"/>
      <c r="Y21" s="27"/>
    </row>
    <row r="22" spans="1:25" ht="33" customHeight="1" x14ac:dyDescent="0.3">
      <c r="A22" s="3">
        <v>19</v>
      </c>
      <c r="B22" s="55" t="s">
        <v>28</v>
      </c>
      <c r="C22" s="3" t="s">
        <v>95</v>
      </c>
      <c r="D22" s="56" t="s">
        <v>316</v>
      </c>
      <c r="E22" s="3" t="s">
        <v>66</v>
      </c>
      <c r="F22" s="3" t="s">
        <v>67</v>
      </c>
      <c r="G22" s="31" t="s">
        <v>298</v>
      </c>
      <c r="H22" s="5">
        <v>150000</v>
      </c>
      <c r="I22" s="5">
        <f t="shared" ref="I22:I29" si="2">ROUNDDOWN(H22*10%,1)</f>
        <v>15000</v>
      </c>
      <c r="J22" s="7">
        <f t="shared" si="1"/>
        <v>165000</v>
      </c>
      <c r="K22" s="22">
        <v>25</v>
      </c>
      <c r="L22" s="23"/>
      <c r="M22" s="24"/>
      <c r="N22" s="23"/>
      <c r="O22" s="24"/>
      <c r="P22" s="23"/>
      <c r="Q22" s="24"/>
      <c r="R22" s="23"/>
      <c r="S22" s="24"/>
      <c r="T22" s="23">
        <v>11.26</v>
      </c>
      <c r="U22" s="24">
        <v>11.29</v>
      </c>
      <c r="V22" s="23" t="s">
        <v>239</v>
      </c>
      <c r="W22" s="24" t="s">
        <v>317</v>
      </c>
      <c r="X22" s="27"/>
      <c r="Y22" s="27"/>
    </row>
    <row r="23" spans="1:25" ht="33" customHeight="1" x14ac:dyDescent="0.3">
      <c r="A23" s="3">
        <v>20</v>
      </c>
      <c r="B23" s="8" t="s">
        <v>18</v>
      </c>
      <c r="C23" s="8"/>
      <c r="D23" s="28" t="s">
        <v>70</v>
      </c>
      <c r="E23" s="3"/>
      <c r="F23" s="3"/>
      <c r="G23" s="19"/>
      <c r="H23" s="5">
        <v>100000</v>
      </c>
      <c r="I23" s="5">
        <f t="shared" si="2"/>
        <v>10000</v>
      </c>
      <c r="J23" s="7">
        <f t="shared" si="1"/>
        <v>110000</v>
      </c>
      <c r="K23" s="22">
        <v>30</v>
      </c>
      <c r="L23" s="23">
        <v>7.27</v>
      </c>
      <c r="M23" s="24">
        <v>7.27</v>
      </c>
      <c r="N23" s="23"/>
      <c r="O23" s="24"/>
      <c r="P23" s="23"/>
      <c r="Q23" s="24"/>
      <c r="R23" s="23"/>
      <c r="S23" s="24"/>
      <c r="T23" s="23">
        <v>12.4</v>
      </c>
      <c r="U23" s="24">
        <v>12.5</v>
      </c>
      <c r="V23" s="23" t="s">
        <v>318</v>
      </c>
      <c r="W23" s="24" t="s">
        <v>312</v>
      </c>
      <c r="X23" s="27"/>
      <c r="Y23" s="27"/>
    </row>
    <row r="24" spans="1:25" ht="33" customHeight="1" x14ac:dyDescent="0.3">
      <c r="A24" s="3">
        <v>25</v>
      </c>
      <c r="B24" s="3" t="s">
        <v>44</v>
      </c>
      <c r="C24" s="3" t="s">
        <v>101</v>
      </c>
      <c r="D24" s="28" t="s">
        <v>70</v>
      </c>
      <c r="E24" s="3" t="s">
        <v>66</v>
      </c>
      <c r="F24" s="3" t="s">
        <v>67</v>
      </c>
      <c r="G24" s="31" t="s">
        <v>304</v>
      </c>
      <c r="H24" s="5">
        <v>100000</v>
      </c>
      <c r="I24" s="5">
        <f t="shared" si="2"/>
        <v>10000</v>
      </c>
      <c r="J24" s="7">
        <f t="shared" si="1"/>
        <v>110000</v>
      </c>
      <c r="K24" s="22">
        <v>30</v>
      </c>
      <c r="L24" s="23"/>
      <c r="M24" s="24"/>
      <c r="N24" s="23"/>
      <c r="O24" s="24"/>
      <c r="P24" s="23"/>
      <c r="Q24" s="24"/>
      <c r="R24" s="23"/>
      <c r="S24" s="24"/>
      <c r="T24" s="53"/>
      <c r="U24" s="54"/>
      <c r="V24" s="23" t="s">
        <v>318</v>
      </c>
      <c r="W24" s="24" t="s">
        <v>312</v>
      </c>
      <c r="X24" s="27"/>
      <c r="Y24" s="27"/>
    </row>
    <row r="25" spans="1:25" ht="33" customHeight="1" x14ac:dyDescent="0.3">
      <c r="A25" s="3">
        <v>21</v>
      </c>
      <c r="B25" s="8" t="s">
        <v>292</v>
      </c>
      <c r="C25" s="8" t="s">
        <v>293</v>
      </c>
      <c r="D25" s="28" t="s">
        <v>70</v>
      </c>
      <c r="E25" s="3" t="s">
        <v>66</v>
      </c>
      <c r="F25" s="3" t="s">
        <v>67</v>
      </c>
      <c r="G25" s="19" t="s">
        <v>304</v>
      </c>
      <c r="H25" s="5">
        <v>50000</v>
      </c>
      <c r="I25" s="5">
        <f t="shared" si="2"/>
        <v>5000</v>
      </c>
      <c r="J25" s="7">
        <f t="shared" si="1"/>
        <v>55000</v>
      </c>
      <c r="K25" s="22">
        <v>31</v>
      </c>
      <c r="L25" s="23"/>
      <c r="M25" s="24"/>
      <c r="N25" s="23"/>
      <c r="O25" s="24"/>
      <c r="P25" s="23"/>
      <c r="Q25" s="24"/>
      <c r="R25" s="23"/>
      <c r="S25" s="24"/>
      <c r="T25" s="23">
        <v>12.4</v>
      </c>
      <c r="U25" s="24">
        <v>12.5</v>
      </c>
      <c r="V25" s="23" t="s">
        <v>318</v>
      </c>
      <c r="W25" s="24" t="s">
        <v>312</v>
      </c>
      <c r="X25" s="27"/>
      <c r="Y25" s="27"/>
    </row>
    <row r="26" spans="1:25" ht="33" customHeight="1" x14ac:dyDescent="0.3">
      <c r="A26" s="3">
        <v>23</v>
      </c>
      <c r="B26" s="8" t="s">
        <v>45</v>
      </c>
      <c r="C26" s="8" t="s">
        <v>107</v>
      </c>
      <c r="D26" s="28" t="s">
        <v>70</v>
      </c>
      <c r="E26" s="3" t="s">
        <v>66</v>
      </c>
      <c r="F26" s="3" t="s">
        <v>67</v>
      </c>
      <c r="G26" s="19">
        <v>31</v>
      </c>
      <c r="H26" s="5">
        <v>100000</v>
      </c>
      <c r="I26" s="5">
        <f t="shared" si="2"/>
        <v>10000</v>
      </c>
      <c r="J26" s="7">
        <f t="shared" si="1"/>
        <v>110000</v>
      </c>
      <c r="K26" s="22">
        <v>31</v>
      </c>
      <c r="L26" s="23"/>
      <c r="M26" s="24"/>
      <c r="N26" s="23"/>
      <c r="O26" s="24"/>
      <c r="P26" s="23"/>
      <c r="Q26" s="24"/>
      <c r="R26" s="23"/>
      <c r="S26" s="24"/>
      <c r="T26" s="23">
        <v>12.4</v>
      </c>
      <c r="U26" s="24">
        <v>12.5</v>
      </c>
      <c r="V26" s="23" t="s">
        <v>318</v>
      </c>
      <c r="W26" s="24" t="s">
        <v>312</v>
      </c>
      <c r="X26" s="27"/>
      <c r="Y26" s="27"/>
    </row>
    <row r="27" spans="1:25" ht="33" customHeight="1" x14ac:dyDescent="0.3">
      <c r="A27" s="3">
        <v>22</v>
      </c>
      <c r="B27" s="8" t="s">
        <v>19</v>
      </c>
      <c r="C27" s="8" t="s">
        <v>102</v>
      </c>
      <c r="D27" s="3" t="s">
        <v>65</v>
      </c>
      <c r="E27" s="3" t="s">
        <v>66</v>
      </c>
      <c r="F27" s="3" t="s">
        <v>67</v>
      </c>
      <c r="G27" s="19">
        <v>5</v>
      </c>
      <c r="H27" s="5">
        <v>100000</v>
      </c>
      <c r="I27" s="5">
        <f t="shared" si="2"/>
        <v>10000</v>
      </c>
      <c r="J27" s="7">
        <f t="shared" si="1"/>
        <v>110000</v>
      </c>
      <c r="K27" s="22">
        <v>31</v>
      </c>
      <c r="L27" s="23"/>
      <c r="M27" s="24"/>
      <c r="N27" s="23"/>
      <c r="O27" s="24"/>
      <c r="P27" s="23"/>
      <c r="Q27" s="24"/>
      <c r="R27" s="23"/>
      <c r="S27" s="24"/>
      <c r="T27" s="23" t="s">
        <v>319</v>
      </c>
      <c r="U27" s="24" t="s">
        <v>320</v>
      </c>
      <c r="V27" s="23" t="s">
        <v>310</v>
      </c>
      <c r="W27" s="24" t="s">
        <v>310</v>
      </c>
      <c r="X27" s="27"/>
      <c r="Y27" s="27"/>
    </row>
    <row r="28" spans="1:25" ht="33" customHeight="1" x14ac:dyDescent="0.3">
      <c r="A28" s="3">
        <v>24</v>
      </c>
      <c r="B28" s="8" t="s">
        <v>10</v>
      </c>
      <c r="C28" s="8" t="s">
        <v>99</v>
      </c>
      <c r="D28" s="3" t="s">
        <v>65</v>
      </c>
      <c r="E28" s="3"/>
      <c r="F28" s="3"/>
      <c r="G28" s="19"/>
      <c r="H28" s="5">
        <v>120000</v>
      </c>
      <c r="I28" s="5">
        <f t="shared" si="2"/>
        <v>12000</v>
      </c>
      <c r="J28" s="7">
        <f t="shared" si="1"/>
        <v>132000</v>
      </c>
      <c r="K28" s="22">
        <v>31</v>
      </c>
      <c r="L28" s="23"/>
      <c r="M28" s="24"/>
      <c r="N28" s="23"/>
      <c r="O28" s="24"/>
      <c r="P28" s="23"/>
      <c r="Q28" s="24"/>
      <c r="R28" s="23"/>
      <c r="S28" s="24"/>
      <c r="T28" s="23" t="s">
        <v>321</v>
      </c>
      <c r="U28" s="24" t="s">
        <v>320</v>
      </c>
      <c r="V28" s="23" t="s">
        <v>310</v>
      </c>
      <c r="W28" s="24" t="s">
        <v>310</v>
      </c>
      <c r="X28" s="27"/>
      <c r="Y28" s="27"/>
    </row>
    <row r="29" spans="1:25" ht="33" hidden="1" customHeight="1" x14ac:dyDescent="0.3">
      <c r="A29" s="3">
        <v>27</v>
      </c>
      <c r="B29" s="3"/>
      <c r="C29" s="3"/>
      <c r="D29" s="28"/>
      <c r="E29" s="3"/>
      <c r="F29" s="3"/>
      <c r="G29" s="31"/>
      <c r="H29" s="5"/>
      <c r="I29" s="5">
        <f t="shared" si="2"/>
        <v>0</v>
      </c>
      <c r="J29" s="7">
        <f t="shared" si="1"/>
        <v>0</v>
      </c>
      <c r="K29" s="22"/>
      <c r="L29" s="23"/>
      <c r="M29" s="24"/>
      <c r="N29" s="23"/>
      <c r="O29" s="24"/>
      <c r="P29" s="23"/>
      <c r="Q29" s="24"/>
      <c r="R29" s="23"/>
      <c r="S29" s="24"/>
      <c r="T29" s="23"/>
      <c r="U29" s="24"/>
      <c r="V29" s="23"/>
      <c r="W29" s="24"/>
      <c r="X29" s="27"/>
      <c r="Y29" s="27"/>
    </row>
    <row r="30" spans="1:25" ht="16.5" customHeight="1" x14ac:dyDescent="0.3"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</row>
    <row r="31" spans="1:25" ht="33" customHeight="1" x14ac:dyDescent="0.3">
      <c r="A31" s="38" t="s">
        <v>108</v>
      </c>
      <c r="B31" s="39"/>
      <c r="C31" s="39"/>
      <c r="D31" s="39"/>
      <c r="E31" s="39"/>
      <c r="F31" s="39"/>
      <c r="G31" s="40"/>
      <c r="H31" s="41">
        <f t="shared" ref="H31:J31" si="3">SUBTOTAL(109,H3:H29)</f>
        <v>2561818</v>
      </c>
      <c r="I31" s="42">
        <f t="shared" si="3"/>
        <v>246181.8</v>
      </c>
      <c r="J31" s="42">
        <f t="shared" si="3"/>
        <v>2807999.8</v>
      </c>
      <c r="K31" s="43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</row>
    <row r="32" spans="1:25" ht="16.5" customHeight="1" x14ac:dyDescent="0.3"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</row>
    <row r="33" spans="12:25" ht="16.5" customHeight="1" x14ac:dyDescent="0.3"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</row>
    <row r="34" spans="12:25" ht="16.5" customHeight="1" x14ac:dyDescent="0.3"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</row>
    <row r="35" spans="12:25" ht="16.5" customHeight="1" x14ac:dyDescent="0.3"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</row>
    <row r="36" spans="12:25" ht="16.5" customHeight="1" x14ac:dyDescent="0.3"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</row>
    <row r="37" spans="12:25" ht="16.5" customHeight="1" x14ac:dyDescent="0.3"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</row>
    <row r="38" spans="12:25" ht="16.5" customHeight="1" x14ac:dyDescent="0.3"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</row>
    <row r="39" spans="12:25" ht="16.5" customHeight="1" x14ac:dyDescent="0.3"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</row>
    <row r="40" spans="12:25" ht="16.5" customHeight="1" x14ac:dyDescent="0.3"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</row>
    <row r="41" spans="12:25" ht="16.5" customHeight="1" x14ac:dyDescent="0.3"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</row>
    <row r="42" spans="12:25" ht="16.5" customHeight="1" x14ac:dyDescent="0.3"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</row>
    <row r="43" spans="12:25" ht="16.5" customHeight="1" x14ac:dyDescent="0.3"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</row>
    <row r="44" spans="12:25" ht="16.5" customHeight="1" x14ac:dyDescent="0.3"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</row>
    <row r="45" spans="12:25" ht="16.5" customHeight="1" x14ac:dyDescent="0.3"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</row>
    <row r="46" spans="12:25" ht="16.5" customHeight="1" x14ac:dyDescent="0.3"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</row>
    <row r="47" spans="12:25" ht="16.5" customHeight="1" x14ac:dyDescent="0.3"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</row>
    <row r="48" spans="12:25" ht="16.5" customHeight="1" x14ac:dyDescent="0.3"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</row>
    <row r="49" spans="12:25" ht="16.5" customHeight="1" x14ac:dyDescent="0.3"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</row>
    <row r="50" spans="12:25" ht="16.5" customHeight="1" x14ac:dyDescent="0.3"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</row>
    <row r="51" spans="12:25" ht="16.5" customHeight="1" x14ac:dyDescent="0.3"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</row>
    <row r="52" spans="12:25" ht="16.5" customHeight="1" x14ac:dyDescent="0.3"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</row>
    <row r="53" spans="12:25" ht="16.5" customHeight="1" x14ac:dyDescent="0.3"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</row>
    <row r="54" spans="12:25" ht="16.5" customHeight="1" x14ac:dyDescent="0.3"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</row>
    <row r="55" spans="12:25" ht="16.5" customHeight="1" x14ac:dyDescent="0.3"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</row>
    <row r="56" spans="12:25" ht="16.5" customHeight="1" x14ac:dyDescent="0.3"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</row>
    <row r="57" spans="12:25" ht="16.5" customHeight="1" x14ac:dyDescent="0.3"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</row>
    <row r="58" spans="12:25" ht="16.5" customHeight="1" x14ac:dyDescent="0.3"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</row>
    <row r="59" spans="12:25" ht="16.5" customHeight="1" x14ac:dyDescent="0.3"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</row>
    <row r="60" spans="12:25" ht="16.5" customHeight="1" x14ac:dyDescent="0.3"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</row>
    <row r="61" spans="12:25" ht="16.5" customHeight="1" x14ac:dyDescent="0.3"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</row>
    <row r="62" spans="12:25" ht="16.5" customHeight="1" x14ac:dyDescent="0.3"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</row>
    <row r="63" spans="12:25" ht="16.5" customHeight="1" x14ac:dyDescent="0.3"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</row>
    <row r="64" spans="12:25" ht="16.5" customHeight="1" x14ac:dyDescent="0.3"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</row>
    <row r="65" spans="12:25" ht="16.5" customHeight="1" x14ac:dyDescent="0.3"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</row>
    <row r="66" spans="12:25" ht="16.5" customHeight="1" x14ac:dyDescent="0.3"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</row>
    <row r="67" spans="12:25" ht="16.5" customHeight="1" x14ac:dyDescent="0.3"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</row>
    <row r="68" spans="12:25" ht="16.5" customHeight="1" x14ac:dyDescent="0.3"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</row>
    <row r="69" spans="12:25" ht="16.5" customHeight="1" x14ac:dyDescent="0.3"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</row>
    <row r="70" spans="12:25" ht="16.5" customHeight="1" x14ac:dyDescent="0.3"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</row>
    <row r="71" spans="12:25" ht="16.5" customHeight="1" x14ac:dyDescent="0.3"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</row>
    <row r="72" spans="12:25" ht="16.5" customHeight="1" x14ac:dyDescent="0.3"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</row>
    <row r="73" spans="12:25" ht="16.5" customHeight="1" x14ac:dyDescent="0.3"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</row>
    <row r="74" spans="12:25" ht="16.5" customHeight="1" x14ac:dyDescent="0.3"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</row>
    <row r="75" spans="12:25" ht="16.5" customHeight="1" x14ac:dyDescent="0.3"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</row>
    <row r="76" spans="12:25" ht="16.5" customHeight="1" x14ac:dyDescent="0.3"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</row>
    <row r="77" spans="12:25" ht="16.5" customHeight="1" x14ac:dyDescent="0.3"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</row>
    <row r="78" spans="12:25" ht="16.5" customHeight="1" x14ac:dyDescent="0.3"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</row>
    <row r="79" spans="12:25" ht="16.5" customHeight="1" x14ac:dyDescent="0.3"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</row>
    <row r="80" spans="12:25" ht="16.5" customHeight="1" x14ac:dyDescent="0.3"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</row>
    <row r="81" spans="12:25" ht="16.5" customHeight="1" x14ac:dyDescent="0.3"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</row>
    <row r="82" spans="12:25" ht="16.5" customHeight="1" x14ac:dyDescent="0.3"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</row>
    <row r="83" spans="12:25" ht="16.5" customHeight="1" x14ac:dyDescent="0.3"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</row>
    <row r="84" spans="12:25" ht="16.5" customHeight="1" x14ac:dyDescent="0.3"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</row>
    <row r="85" spans="12:25" ht="16.5" customHeight="1" x14ac:dyDescent="0.3"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</row>
    <row r="86" spans="12:25" ht="16.5" customHeight="1" x14ac:dyDescent="0.3"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</row>
    <row r="87" spans="12:25" ht="16.5" customHeight="1" x14ac:dyDescent="0.3"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</row>
    <row r="88" spans="12:25" ht="16.5" customHeight="1" x14ac:dyDescent="0.3"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</row>
    <row r="89" spans="12:25" ht="16.5" customHeight="1" x14ac:dyDescent="0.3">
      <c r="L89" s="37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</row>
    <row r="90" spans="12:25" ht="16.5" customHeight="1" x14ac:dyDescent="0.3"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</row>
    <row r="91" spans="12:25" ht="16.5" customHeight="1" x14ac:dyDescent="0.3"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</row>
    <row r="92" spans="12:25" ht="16.5" customHeight="1" x14ac:dyDescent="0.3"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</row>
    <row r="93" spans="12:25" ht="16.5" customHeight="1" x14ac:dyDescent="0.3"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</row>
    <row r="94" spans="12:25" ht="16.5" customHeight="1" x14ac:dyDescent="0.3"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</row>
    <row r="95" spans="12:25" ht="16.5" customHeight="1" x14ac:dyDescent="0.3">
      <c r="L95" s="37"/>
      <c r="M95" s="37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</row>
    <row r="96" spans="12:25" ht="16.5" customHeight="1" x14ac:dyDescent="0.3"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</row>
    <row r="97" spans="12:25" ht="16.5" customHeight="1" x14ac:dyDescent="0.3"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</row>
    <row r="98" spans="12:25" ht="16.5" customHeight="1" x14ac:dyDescent="0.3"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</row>
    <row r="99" spans="12:25" ht="16.5" customHeight="1" x14ac:dyDescent="0.3"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</row>
    <row r="100" spans="12:25" ht="16.5" customHeight="1" x14ac:dyDescent="0.3"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</row>
  </sheetData>
  <autoFilter ref="A2:Y2" xr:uid="{00000000-0009-0000-0000-000005000000}"/>
  <mergeCells count="9">
    <mergeCell ref="T1:U1"/>
    <mergeCell ref="V1:W1"/>
    <mergeCell ref="E1:F1"/>
    <mergeCell ref="H1:J1"/>
    <mergeCell ref="X1:Y1"/>
    <mergeCell ref="L1:M1"/>
    <mergeCell ref="N1:O1"/>
    <mergeCell ref="P1:Q1"/>
    <mergeCell ref="R1:S1"/>
  </mergeCells>
  <phoneticPr fontId="13" type="noConversion"/>
  <conditionalFormatting sqref="K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2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D103"/>
  <sheetViews>
    <sheetView view="pageBreakPreview" zoomScaleNormal="85" zoomScaleSheetLayoutView="100" workbookViewId="0"/>
  </sheetViews>
  <sheetFormatPr defaultColWidth="12.625" defaultRowHeight="15" customHeight="1" x14ac:dyDescent="0.3"/>
  <cols>
    <col min="1" max="5" width="5" customWidth="1"/>
    <col min="6" max="13" width="5" style="235" customWidth="1"/>
    <col min="14" max="19" width="5" customWidth="1"/>
    <col min="20" max="21" width="7.625" customWidth="1"/>
    <col min="22" max="23" width="22.625" customWidth="1"/>
    <col min="24" max="24" width="22.625" style="235" customWidth="1"/>
    <col min="25" max="25" width="35" bestFit="1" customWidth="1"/>
  </cols>
  <sheetData>
    <row r="1" spans="1:26" s="242" customFormat="1" ht="15" customHeight="1" x14ac:dyDescent="0.3">
      <c r="A1" s="243"/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3"/>
      <c r="R1" s="243"/>
      <c r="S1" s="243"/>
    </row>
    <row r="2" spans="1:26" s="242" customFormat="1" ht="15" customHeight="1" x14ac:dyDescent="0.3">
      <c r="A2" s="243"/>
      <c r="B2" s="243"/>
      <c r="C2" s="243"/>
      <c r="D2" s="243"/>
      <c r="E2" s="243"/>
      <c r="F2" s="243"/>
      <c r="G2" s="243"/>
      <c r="H2" s="243"/>
      <c r="I2" s="243"/>
      <c r="J2" s="243"/>
      <c r="K2" s="243"/>
      <c r="L2" s="243"/>
      <c r="M2" s="243"/>
      <c r="N2" s="243"/>
      <c r="O2" s="243"/>
      <c r="P2" s="243"/>
      <c r="Q2" s="243"/>
      <c r="R2" s="243"/>
      <c r="S2" s="243"/>
    </row>
    <row r="3" spans="1:26" s="242" customFormat="1" ht="15" customHeight="1" x14ac:dyDescent="0.3">
      <c r="A3" s="243"/>
      <c r="B3" s="243"/>
      <c r="C3" s="243"/>
      <c r="D3" s="243"/>
      <c r="E3" s="243"/>
      <c r="F3" s="243"/>
      <c r="G3" s="243"/>
      <c r="H3" s="243"/>
      <c r="I3" s="243"/>
      <c r="J3" s="243"/>
      <c r="K3" s="243"/>
      <c r="L3" s="243"/>
      <c r="M3" s="243"/>
      <c r="N3" s="243"/>
      <c r="O3" s="243"/>
      <c r="P3" s="243"/>
      <c r="Q3" s="243"/>
      <c r="R3" s="243"/>
      <c r="S3" s="243"/>
    </row>
    <row r="4" spans="1:26" s="242" customFormat="1" ht="15" customHeight="1" x14ac:dyDescent="0.3">
      <c r="A4" s="243"/>
      <c r="B4" s="243"/>
      <c r="C4" s="243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3"/>
      <c r="Q4" s="243"/>
      <c r="R4" s="243"/>
      <c r="S4" s="243"/>
    </row>
    <row r="5" spans="1:26" ht="16.5" customHeight="1" x14ac:dyDescent="0.3">
      <c r="A5" s="544" t="s">
        <v>322</v>
      </c>
      <c r="B5" s="545"/>
      <c r="C5" s="545"/>
      <c r="D5" s="545"/>
      <c r="E5" s="545"/>
      <c r="F5" s="545"/>
      <c r="G5" s="545"/>
      <c r="H5" s="545"/>
      <c r="I5" s="545"/>
      <c r="J5" s="545"/>
      <c r="K5" s="545"/>
      <c r="L5" s="545"/>
      <c r="M5" s="545"/>
      <c r="N5" s="545"/>
      <c r="O5" s="545"/>
      <c r="P5" s="545"/>
      <c r="Q5" s="545"/>
      <c r="R5" s="545"/>
      <c r="S5" s="545"/>
      <c r="T5" s="57"/>
      <c r="U5" s="57"/>
    </row>
    <row r="6" spans="1:26" ht="16.5" customHeight="1" x14ac:dyDescent="0.3">
      <c r="A6" s="545"/>
      <c r="B6" s="545"/>
      <c r="C6" s="545"/>
      <c r="D6" s="545"/>
      <c r="E6" s="545"/>
      <c r="F6" s="545"/>
      <c r="G6" s="545"/>
      <c r="H6" s="545"/>
      <c r="I6" s="545"/>
      <c r="J6" s="545"/>
      <c r="K6" s="545"/>
      <c r="L6" s="545"/>
      <c r="M6" s="545"/>
      <c r="N6" s="545"/>
      <c r="O6" s="545"/>
      <c r="P6" s="545"/>
      <c r="Q6" s="545"/>
      <c r="R6" s="545"/>
      <c r="S6" s="545"/>
      <c r="T6" s="57"/>
      <c r="U6" s="57"/>
    </row>
    <row r="7" spans="1:26" ht="16.5" customHeight="1" x14ac:dyDescent="0.3">
      <c r="A7" s="243"/>
      <c r="B7" s="243"/>
      <c r="C7" s="243"/>
      <c r="D7" s="243"/>
      <c r="E7" s="243"/>
      <c r="F7" s="243"/>
      <c r="G7" s="243"/>
      <c r="H7" s="243"/>
      <c r="I7" s="243"/>
      <c r="J7" s="243"/>
      <c r="K7" s="243"/>
      <c r="L7" s="243"/>
      <c r="M7" s="243"/>
      <c r="N7" s="243"/>
      <c r="O7" s="243"/>
      <c r="P7" s="243"/>
      <c r="Q7" s="243"/>
      <c r="R7" s="243"/>
      <c r="S7" s="243"/>
    </row>
    <row r="8" spans="1:26" ht="30" customHeight="1" x14ac:dyDescent="0.3">
      <c r="A8" s="244" t="s">
        <v>531</v>
      </c>
      <c r="B8" s="243"/>
      <c r="C8" s="243"/>
      <c r="D8" s="243"/>
      <c r="E8" s="243"/>
      <c r="F8" s="243"/>
      <c r="G8" s="243"/>
      <c r="H8" s="243"/>
      <c r="I8" s="243"/>
      <c r="J8" s="243"/>
      <c r="K8" s="243"/>
      <c r="L8" s="243"/>
      <c r="M8" s="243"/>
      <c r="N8" s="243"/>
      <c r="O8" s="243"/>
      <c r="P8" s="243"/>
      <c r="Q8" s="243"/>
      <c r="R8" s="243"/>
      <c r="S8" s="243"/>
      <c r="V8" s="235"/>
      <c r="W8" s="235"/>
      <c r="Y8" s="235"/>
      <c r="Z8" s="235"/>
    </row>
    <row r="9" spans="1:26" ht="16.5" customHeight="1" x14ac:dyDescent="0.3">
      <c r="A9" s="547" t="s">
        <v>522</v>
      </c>
      <c r="B9" s="547"/>
      <c r="C9" s="547"/>
      <c r="D9" s="547"/>
      <c r="E9" s="547" t="s">
        <v>533</v>
      </c>
      <c r="F9" s="547"/>
      <c r="G9" s="547"/>
      <c r="H9" s="547"/>
      <c r="I9" s="547"/>
      <c r="J9" s="547" t="s">
        <v>516</v>
      </c>
      <c r="K9" s="547"/>
      <c r="L9" s="547"/>
      <c r="M9" s="547"/>
      <c r="N9" s="547"/>
      <c r="O9" s="547" t="s">
        <v>532</v>
      </c>
      <c r="P9" s="547"/>
      <c r="Q9" s="547"/>
      <c r="R9" s="547"/>
      <c r="S9" s="547"/>
      <c r="V9" s="235"/>
      <c r="W9" s="235"/>
      <c r="Y9" s="235"/>
      <c r="Z9" s="235"/>
    </row>
    <row r="10" spans="1:26" ht="16.5" customHeight="1" x14ac:dyDescent="0.3">
      <c r="A10" s="546" t="s">
        <v>520</v>
      </c>
      <c r="B10" s="546"/>
      <c r="C10" s="546"/>
      <c r="D10" s="546"/>
      <c r="E10" s="546" t="s">
        <v>518</v>
      </c>
      <c r="F10" s="546"/>
      <c r="G10" s="546"/>
      <c r="H10" s="546"/>
      <c r="I10" s="546"/>
      <c r="J10" s="546" t="s">
        <v>518</v>
      </c>
      <c r="K10" s="546"/>
      <c r="L10" s="546"/>
      <c r="M10" s="546"/>
      <c r="N10" s="546"/>
      <c r="O10" s="548" t="s">
        <v>517</v>
      </c>
      <c r="P10" s="548"/>
      <c r="Q10" s="548"/>
      <c r="R10" s="548"/>
      <c r="S10" s="548"/>
      <c r="V10" s="235"/>
      <c r="W10" s="235"/>
      <c r="Y10" s="235"/>
      <c r="Z10" s="235"/>
    </row>
    <row r="11" spans="1:26" ht="16.5" customHeight="1" x14ac:dyDescent="0.3">
      <c r="A11" s="546" t="s">
        <v>523</v>
      </c>
      <c r="B11" s="546"/>
      <c r="C11" s="546"/>
      <c r="D11" s="546"/>
      <c r="E11" s="546" t="s">
        <v>518</v>
      </c>
      <c r="F11" s="546"/>
      <c r="G11" s="546"/>
      <c r="H11" s="546"/>
      <c r="I11" s="546"/>
      <c r="J11" s="546" t="s">
        <v>518</v>
      </c>
      <c r="K11" s="546"/>
      <c r="L11" s="546"/>
      <c r="M11" s="546" t="s">
        <v>517</v>
      </c>
      <c r="N11" s="546"/>
      <c r="O11" s="548" t="s">
        <v>517</v>
      </c>
      <c r="P11" s="548"/>
      <c r="Q11" s="548"/>
      <c r="R11" s="548"/>
      <c r="S11" s="548"/>
      <c r="V11" s="235"/>
      <c r="W11" s="235"/>
      <c r="Y11" s="235"/>
      <c r="Z11" s="235"/>
    </row>
    <row r="12" spans="1:26" ht="16.5" customHeight="1" x14ac:dyDescent="0.3">
      <c r="A12" s="546" t="s">
        <v>521</v>
      </c>
      <c r="B12" s="546"/>
      <c r="C12" s="546"/>
      <c r="D12" s="546"/>
      <c r="E12" s="546" t="s">
        <v>518</v>
      </c>
      <c r="F12" s="546"/>
      <c r="G12" s="546"/>
      <c r="H12" s="546"/>
      <c r="I12" s="546"/>
      <c r="J12" s="546" t="s">
        <v>518</v>
      </c>
      <c r="K12" s="546"/>
      <c r="L12" s="546"/>
      <c r="M12" s="546" t="s">
        <v>517</v>
      </c>
      <c r="N12" s="546"/>
      <c r="O12" s="548" t="s">
        <v>517</v>
      </c>
      <c r="P12" s="548"/>
      <c r="Q12" s="548"/>
      <c r="R12" s="548"/>
      <c r="S12" s="548"/>
      <c r="V12" s="235"/>
      <c r="W12" s="235"/>
      <c r="Y12" s="235"/>
      <c r="Z12" s="235"/>
    </row>
    <row r="13" spans="1:26" ht="16.5" customHeight="1" x14ac:dyDescent="0.3">
      <c r="A13" s="546" t="s">
        <v>534</v>
      </c>
      <c r="B13" s="546"/>
      <c r="C13" s="546"/>
      <c r="D13" s="546"/>
      <c r="E13" s="546" t="s">
        <v>518</v>
      </c>
      <c r="F13" s="546"/>
      <c r="G13" s="546"/>
      <c r="H13" s="546"/>
      <c r="I13" s="546"/>
      <c r="J13" s="546" t="s">
        <v>518</v>
      </c>
      <c r="K13" s="546"/>
      <c r="L13" s="546"/>
      <c r="M13" s="546" t="s">
        <v>517</v>
      </c>
      <c r="N13" s="546"/>
      <c r="O13" s="548" t="s">
        <v>517</v>
      </c>
      <c r="P13" s="548"/>
      <c r="Q13" s="548"/>
      <c r="R13" s="548"/>
      <c r="S13" s="548"/>
      <c r="V13" s="235"/>
      <c r="W13" s="235"/>
      <c r="Y13" s="235"/>
      <c r="Z13" s="235"/>
    </row>
    <row r="14" spans="1:26" ht="16.5" customHeight="1" x14ac:dyDescent="0.3">
      <c r="A14" s="546" t="s">
        <v>524</v>
      </c>
      <c r="B14" s="546"/>
      <c r="C14" s="546"/>
      <c r="D14" s="546"/>
      <c r="E14" s="546" t="s">
        <v>518</v>
      </c>
      <c r="F14" s="546"/>
      <c r="G14" s="546"/>
      <c r="H14" s="546"/>
      <c r="I14" s="546"/>
      <c r="J14" s="546" t="s">
        <v>518</v>
      </c>
      <c r="K14" s="546"/>
      <c r="L14" s="546"/>
      <c r="M14" s="546" t="s">
        <v>517</v>
      </c>
      <c r="N14" s="546"/>
      <c r="O14" s="548" t="s">
        <v>517</v>
      </c>
      <c r="P14" s="548"/>
      <c r="Q14" s="548"/>
      <c r="R14" s="548"/>
      <c r="S14" s="548"/>
      <c r="V14" s="235"/>
      <c r="W14" s="235"/>
      <c r="Y14" s="235"/>
      <c r="Z14" s="235"/>
    </row>
    <row r="15" spans="1:26" ht="16.5" customHeight="1" x14ac:dyDescent="0.3">
      <c r="A15" s="546" t="s">
        <v>525</v>
      </c>
      <c r="B15" s="546"/>
      <c r="C15" s="546"/>
      <c r="D15" s="546"/>
      <c r="E15" s="546" t="s">
        <v>518</v>
      </c>
      <c r="F15" s="546"/>
      <c r="G15" s="546"/>
      <c r="H15" s="546"/>
      <c r="I15" s="546"/>
      <c r="J15" s="548" t="s">
        <v>517</v>
      </c>
      <c r="K15" s="548"/>
      <c r="L15" s="548"/>
      <c r="M15" s="548" t="s">
        <v>518</v>
      </c>
      <c r="N15" s="548"/>
      <c r="O15" s="546" t="s">
        <v>518</v>
      </c>
      <c r="P15" s="546"/>
      <c r="Q15" s="546"/>
      <c r="R15" s="546"/>
      <c r="S15" s="546"/>
      <c r="V15" s="235"/>
      <c r="W15" s="235"/>
      <c r="Y15" s="235"/>
      <c r="Z15" s="235"/>
    </row>
    <row r="16" spans="1:26" ht="16.5" customHeight="1" x14ac:dyDescent="0.3">
      <c r="A16" s="546" t="s">
        <v>527</v>
      </c>
      <c r="B16" s="546"/>
      <c r="C16" s="546"/>
      <c r="D16" s="546"/>
      <c r="E16" s="546" t="s">
        <v>518</v>
      </c>
      <c r="F16" s="546"/>
      <c r="G16" s="546"/>
      <c r="H16" s="546"/>
      <c r="I16" s="546"/>
      <c r="J16" s="548" t="s">
        <v>517</v>
      </c>
      <c r="K16" s="548"/>
      <c r="L16" s="548"/>
      <c r="M16" s="548" t="s">
        <v>518</v>
      </c>
      <c r="N16" s="548"/>
      <c r="O16" s="546" t="s">
        <v>518</v>
      </c>
      <c r="P16" s="546"/>
      <c r="Q16" s="546"/>
      <c r="R16" s="546"/>
      <c r="S16" s="546"/>
      <c r="V16" s="235"/>
      <c r="W16" s="235"/>
      <c r="Y16" s="235"/>
      <c r="Z16" s="235"/>
    </row>
    <row r="17" spans="1:30" ht="16.5" customHeight="1" x14ac:dyDescent="0.3">
      <c r="A17" s="546" t="s">
        <v>526</v>
      </c>
      <c r="B17" s="546"/>
      <c r="C17" s="546"/>
      <c r="D17" s="546"/>
      <c r="E17" s="546" t="s">
        <v>518</v>
      </c>
      <c r="F17" s="546"/>
      <c r="G17" s="546"/>
      <c r="H17" s="546"/>
      <c r="I17" s="546"/>
      <c r="J17" s="548" t="s">
        <v>517</v>
      </c>
      <c r="K17" s="548"/>
      <c r="L17" s="548"/>
      <c r="M17" s="548" t="s">
        <v>518</v>
      </c>
      <c r="N17" s="548"/>
      <c r="O17" s="546" t="s">
        <v>518</v>
      </c>
      <c r="P17" s="546"/>
      <c r="Q17" s="546"/>
      <c r="R17" s="546"/>
      <c r="S17" s="546"/>
      <c r="V17" s="235"/>
      <c r="W17" s="235"/>
      <c r="Y17" s="235"/>
      <c r="Z17" s="235"/>
    </row>
    <row r="18" spans="1:30" ht="16.5" customHeight="1" x14ac:dyDescent="0.3">
      <c r="A18" s="546" t="s">
        <v>528</v>
      </c>
      <c r="B18" s="546"/>
      <c r="C18" s="546"/>
      <c r="D18" s="546"/>
      <c r="E18" s="546" t="s">
        <v>518</v>
      </c>
      <c r="F18" s="546"/>
      <c r="G18" s="546"/>
      <c r="H18" s="546"/>
      <c r="I18" s="546"/>
      <c r="J18" s="548" t="s">
        <v>517</v>
      </c>
      <c r="K18" s="548"/>
      <c r="L18" s="548"/>
      <c r="M18" s="548" t="s">
        <v>518</v>
      </c>
      <c r="N18" s="548"/>
      <c r="O18" s="546" t="s">
        <v>518</v>
      </c>
      <c r="P18" s="546"/>
      <c r="Q18" s="546"/>
      <c r="R18" s="546"/>
      <c r="S18" s="546"/>
      <c r="V18" s="235"/>
      <c r="W18" s="235"/>
      <c r="Y18" s="235"/>
      <c r="Z18" s="235"/>
    </row>
    <row r="19" spans="1:30" ht="16.5" customHeight="1" x14ac:dyDescent="0.3">
      <c r="A19" s="546" t="s">
        <v>529</v>
      </c>
      <c r="B19" s="546"/>
      <c r="C19" s="546"/>
      <c r="D19" s="546"/>
      <c r="E19" s="546" t="s">
        <v>518</v>
      </c>
      <c r="F19" s="546"/>
      <c r="G19" s="546"/>
      <c r="H19" s="546"/>
      <c r="I19" s="546"/>
      <c r="J19" s="548" t="s">
        <v>517</v>
      </c>
      <c r="K19" s="548"/>
      <c r="L19" s="548"/>
      <c r="M19" s="548" t="s">
        <v>518</v>
      </c>
      <c r="N19" s="548"/>
      <c r="O19" s="546" t="s">
        <v>518</v>
      </c>
      <c r="P19" s="546"/>
      <c r="Q19" s="546"/>
      <c r="R19" s="546"/>
      <c r="S19" s="546"/>
      <c r="V19" s="235"/>
      <c r="W19" s="235"/>
      <c r="Y19" s="235"/>
      <c r="Z19" s="235"/>
    </row>
    <row r="20" spans="1:30" ht="16.5" customHeight="1" x14ac:dyDescent="0.3">
      <c r="A20" s="245"/>
      <c r="B20" s="245"/>
      <c r="C20" s="245"/>
      <c r="D20" s="245"/>
      <c r="E20" s="245"/>
      <c r="F20" s="245"/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V20" s="235"/>
      <c r="W20" s="235"/>
      <c r="Y20" s="235"/>
      <c r="Z20" s="235"/>
    </row>
    <row r="21" spans="1:30" s="235" customFormat="1" ht="30" customHeight="1" x14ac:dyDescent="0.3">
      <c r="A21" s="244" t="s">
        <v>535</v>
      </c>
      <c r="B21" s="243"/>
      <c r="C21" s="243"/>
      <c r="D21" s="243"/>
      <c r="E21" s="243"/>
      <c r="F21" s="243"/>
      <c r="G21" s="243"/>
      <c r="H21" s="243"/>
      <c r="I21" s="243"/>
      <c r="J21" s="243"/>
      <c r="K21" s="243"/>
      <c r="L21" s="243"/>
      <c r="M21" s="243"/>
      <c r="N21" s="243"/>
      <c r="O21" s="243"/>
      <c r="P21" s="243"/>
      <c r="Q21" s="243"/>
      <c r="R21" s="243"/>
      <c r="S21" s="243"/>
    </row>
    <row r="22" spans="1:30" ht="16.5" customHeight="1" x14ac:dyDescent="0.3">
      <c r="A22" s="552" t="s">
        <v>522</v>
      </c>
      <c r="B22" s="552"/>
      <c r="C22" s="552"/>
      <c r="D22" s="552"/>
      <c r="E22" s="552"/>
      <c r="F22" s="552"/>
      <c r="G22" s="547" t="s">
        <v>519</v>
      </c>
      <c r="H22" s="547"/>
      <c r="I22" s="547"/>
      <c r="J22" s="547"/>
      <c r="K22" s="547" t="s">
        <v>516</v>
      </c>
      <c r="L22" s="547"/>
      <c r="M22" s="547"/>
      <c r="N22" s="547"/>
      <c r="O22" s="553" t="s">
        <v>515</v>
      </c>
      <c r="P22" s="554"/>
      <c r="Q22" s="554"/>
      <c r="R22" s="554"/>
      <c r="S22" s="555"/>
      <c r="V22" s="235"/>
      <c r="W22" s="235"/>
      <c r="Y22" s="235"/>
      <c r="Z22" s="235"/>
    </row>
    <row r="23" spans="1:30" ht="16.5" customHeight="1" x14ac:dyDescent="0.3">
      <c r="A23" s="246"/>
      <c r="B23" s="551"/>
      <c r="C23" s="551"/>
      <c r="D23" s="247">
        <v>10</v>
      </c>
      <c r="E23" s="549" t="s">
        <v>536</v>
      </c>
      <c r="F23" s="550"/>
      <c r="G23" s="560">
        <v>80</v>
      </c>
      <c r="H23" s="560"/>
      <c r="I23" s="560"/>
      <c r="J23" s="560"/>
      <c r="K23" s="558">
        <v>100000</v>
      </c>
      <c r="L23" s="558"/>
      <c r="M23" s="558"/>
      <c r="N23" s="558"/>
      <c r="O23" s="558">
        <v>100000</v>
      </c>
      <c r="P23" s="558"/>
      <c r="Q23" s="558"/>
      <c r="R23" s="558"/>
      <c r="S23" s="558"/>
      <c r="V23" s="235"/>
      <c r="W23" s="235"/>
      <c r="Y23" s="235"/>
      <c r="Z23" s="235"/>
    </row>
    <row r="24" spans="1:30" ht="16.5" customHeight="1" x14ac:dyDescent="0.3">
      <c r="A24" s="246">
        <v>10</v>
      </c>
      <c r="B24" s="551" t="s">
        <v>537</v>
      </c>
      <c r="C24" s="551"/>
      <c r="D24" s="247">
        <v>30</v>
      </c>
      <c r="E24" s="549" t="s">
        <v>536</v>
      </c>
      <c r="F24" s="550"/>
      <c r="G24" s="560">
        <v>70</v>
      </c>
      <c r="H24" s="560"/>
      <c r="I24" s="560"/>
      <c r="J24" s="560"/>
      <c r="K24" s="558">
        <v>100000</v>
      </c>
      <c r="L24" s="558"/>
      <c r="M24" s="558"/>
      <c r="N24" s="558"/>
      <c r="O24" s="559">
        <v>9000</v>
      </c>
      <c r="P24" s="559"/>
      <c r="Q24" s="559"/>
      <c r="R24" s="559"/>
      <c r="S24" s="559"/>
      <c r="V24" s="235"/>
      <c r="W24" s="235"/>
      <c r="Y24" s="235"/>
      <c r="Z24" s="235"/>
    </row>
    <row r="25" spans="1:30" ht="16.5" customHeight="1" x14ac:dyDescent="0.3">
      <c r="A25" s="246">
        <f>D24</f>
        <v>30</v>
      </c>
      <c r="B25" s="551" t="s">
        <v>537</v>
      </c>
      <c r="C25" s="551"/>
      <c r="D25" s="247">
        <v>50</v>
      </c>
      <c r="E25" s="549" t="s">
        <v>536</v>
      </c>
      <c r="F25" s="550"/>
      <c r="G25" s="560">
        <v>60</v>
      </c>
      <c r="H25" s="560"/>
      <c r="I25" s="560"/>
      <c r="J25" s="560"/>
      <c r="K25" s="558">
        <v>150000</v>
      </c>
      <c r="L25" s="558"/>
      <c r="M25" s="558"/>
      <c r="N25" s="558"/>
      <c r="O25" s="559">
        <v>8500</v>
      </c>
      <c r="P25" s="559"/>
      <c r="Q25" s="559"/>
      <c r="R25" s="559"/>
      <c r="S25" s="559"/>
      <c r="V25" s="235"/>
      <c r="W25" s="235"/>
      <c r="Y25" s="235"/>
      <c r="Z25" s="235"/>
    </row>
    <row r="26" spans="1:30" ht="16.5" customHeight="1" x14ac:dyDescent="0.3">
      <c r="A26" s="246">
        <f>D25</f>
        <v>50</v>
      </c>
      <c r="B26" s="551" t="s">
        <v>537</v>
      </c>
      <c r="C26" s="551"/>
      <c r="D26" s="247">
        <v>100</v>
      </c>
      <c r="E26" s="549" t="s">
        <v>536</v>
      </c>
      <c r="F26" s="550"/>
      <c r="G26" s="560">
        <v>50</v>
      </c>
      <c r="H26" s="560"/>
      <c r="I26" s="560"/>
      <c r="J26" s="560"/>
      <c r="K26" s="558">
        <v>200000</v>
      </c>
      <c r="L26" s="558"/>
      <c r="M26" s="558"/>
      <c r="N26" s="558"/>
      <c r="O26" s="559">
        <v>8000</v>
      </c>
      <c r="P26" s="559"/>
      <c r="Q26" s="559"/>
      <c r="R26" s="559"/>
      <c r="S26" s="559"/>
      <c r="V26" s="235"/>
      <c r="W26" s="235"/>
      <c r="Y26" s="235"/>
      <c r="Z26" s="235"/>
    </row>
    <row r="27" spans="1:30" ht="16.5" customHeight="1" x14ac:dyDescent="0.3">
      <c r="A27" s="546" t="s">
        <v>530</v>
      </c>
      <c r="B27" s="546"/>
      <c r="C27" s="546"/>
      <c r="D27" s="546"/>
      <c r="E27" s="546"/>
      <c r="F27" s="546"/>
      <c r="G27" s="558" t="s">
        <v>544</v>
      </c>
      <c r="H27" s="558"/>
      <c r="I27" s="558"/>
      <c r="J27" s="558"/>
      <c r="K27" s="558" t="s">
        <v>544</v>
      </c>
      <c r="L27" s="558"/>
      <c r="M27" s="558"/>
      <c r="N27" s="558"/>
      <c r="O27" s="558" t="s">
        <v>544</v>
      </c>
      <c r="P27" s="558"/>
      <c r="Q27" s="558"/>
      <c r="R27" s="558"/>
      <c r="S27" s="558"/>
      <c r="V27" s="235"/>
      <c r="W27" s="235"/>
      <c r="Y27" s="235"/>
      <c r="Z27" s="235"/>
    </row>
    <row r="28" spans="1:30" ht="16.5" customHeight="1" x14ac:dyDescent="0.3">
      <c r="A28" s="243"/>
      <c r="B28" s="248"/>
      <c r="C28" s="248"/>
      <c r="D28" s="243"/>
      <c r="E28" s="243"/>
      <c r="F28" s="243"/>
      <c r="G28" s="243"/>
      <c r="H28" s="243"/>
      <c r="I28" s="243"/>
      <c r="J28" s="243"/>
      <c r="K28" s="243"/>
      <c r="L28" s="243"/>
      <c r="M28" s="243"/>
      <c r="N28" s="243"/>
      <c r="O28" s="243"/>
      <c r="P28" s="243"/>
      <c r="Q28" s="243"/>
      <c r="R28" s="243"/>
      <c r="S28" s="243"/>
      <c r="V28" s="235"/>
      <c r="W28" s="235"/>
      <c r="Y28" s="235"/>
      <c r="Z28" s="235"/>
      <c r="AA28" s="236"/>
    </row>
    <row r="29" spans="1:30" ht="16.5" customHeight="1" x14ac:dyDescent="0.3">
      <c r="A29" s="556"/>
      <c r="B29" s="556"/>
      <c r="C29" s="556"/>
      <c r="D29" s="556"/>
      <c r="E29" s="556"/>
      <c r="F29" s="556"/>
      <c r="G29" s="556"/>
      <c r="H29" s="556"/>
      <c r="I29" s="556"/>
      <c r="J29" s="556"/>
      <c r="K29" s="556"/>
      <c r="L29" s="556"/>
      <c r="M29" s="556"/>
      <c r="N29" s="556"/>
      <c r="O29" s="556"/>
      <c r="P29" s="556"/>
      <c r="Q29" s="556"/>
      <c r="R29" s="556"/>
      <c r="S29" s="556"/>
      <c r="V29" s="235"/>
      <c r="W29" s="235"/>
      <c r="Y29" s="235"/>
      <c r="Z29" s="235"/>
      <c r="AA29" s="236"/>
      <c r="AD29" s="236"/>
    </row>
    <row r="30" spans="1:30" ht="16.5" customHeight="1" x14ac:dyDescent="0.3">
      <c r="A30" s="499" t="s">
        <v>538</v>
      </c>
      <c r="B30" s="499"/>
      <c r="C30" s="557" t="s">
        <v>519</v>
      </c>
      <c r="D30" s="557"/>
      <c r="E30" s="499" t="s">
        <v>516</v>
      </c>
      <c r="F30" s="499"/>
      <c r="G30" s="499" t="s">
        <v>515</v>
      </c>
      <c r="H30" s="499"/>
      <c r="J30" s="499" t="s">
        <v>538</v>
      </c>
      <c r="K30" s="499"/>
      <c r="L30" s="557" t="s">
        <v>519</v>
      </c>
      <c r="M30" s="557"/>
      <c r="N30" s="499" t="s">
        <v>516</v>
      </c>
      <c r="O30" s="499"/>
      <c r="P30" s="499" t="s">
        <v>515</v>
      </c>
      <c r="Q30" s="499"/>
      <c r="R30" s="235"/>
      <c r="S30" s="235"/>
      <c r="V30" s="235"/>
      <c r="W30" s="235"/>
      <c r="Y30" s="235"/>
      <c r="Z30" s="235"/>
      <c r="AA30" s="236"/>
      <c r="AD30" s="236"/>
    </row>
    <row r="31" spans="1:30" ht="16.5" customHeight="1" x14ac:dyDescent="0.3">
      <c r="A31" s="564" t="s">
        <v>539</v>
      </c>
      <c r="B31" s="565"/>
      <c r="C31" s="566">
        <v>120000</v>
      </c>
      <c r="D31" s="566"/>
      <c r="E31" s="567">
        <v>100000</v>
      </c>
      <c r="F31" s="568"/>
      <c r="G31" s="567">
        <v>100000</v>
      </c>
      <c r="H31" s="568"/>
      <c r="J31" s="430">
        <f>A61+1</f>
        <v>41</v>
      </c>
      <c r="K31" s="431"/>
      <c r="L31" s="561">
        <f>((1-IF(J31&lt;=$D$23,$G$23,IF(J31&lt;=$D$24,$G$24,IF(J31&lt;=$D$25,$G$25,IF(J31&lt;=$D$26,$G$26))))/100))*N31+P31</f>
        <v>423500</v>
      </c>
      <c r="M31" s="561"/>
      <c r="N31" s="562">
        <f>IF(J31&lt;=$D$23,$K$23,IF(J31&lt;=$D$24,$K$24,IF(J31&lt;=$D$25,$K$25,IF(J31&lt;=$D$26,$K$26))))</f>
        <v>150000</v>
      </c>
      <c r="O31" s="563"/>
      <c r="P31" s="562">
        <f>100000+(J31-10)*(IF(J31&lt;=$D$24,$O$24,IF(J31&lt;=$D$25,$O$25,IF(J31&lt;=$D$26,$O$26))))</f>
        <v>363500</v>
      </c>
      <c r="Q31" s="563"/>
      <c r="R31" s="235"/>
      <c r="S31" s="235"/>
      <c r="V31" s="235"/>
      <c r="W31" s="235"/>
      <c r="Y31" s="235"/>
      <c r="Z31" s="235"/>
    </row>
    <row r="32" spans="1:30" ht="16.5" customHeight="1" x14ac:dyDescent="0.3">
      <c r="A32" s="430">
        <v>11</v>
      </c>
      <c r="B32" s="431"/>
      <c r="C32" s="561">
        <f>((1-IF(A32&lt;=$D$23,$G$23,IF(A32&lt;=$D$24,$G$24,IF(A32&lt;=$D$25,$G$25,IF(A32&lt;=$D$26,$G$26))))/100))*E32+G32</f>
        <v>139000</v>
      </c>
      <c r="D32" s="561"/>
      <c r="E32" s="562">
        <f>IF(A32&lt;=$D$23,$K$23,IF(A32&lt;=$D$24,$K$24,IF(A32&lt;=$D$25,$K$25,IF(A32&lt;=$D$26,$K$26))))</f>
        <v>100000</v>
      </c>
      <c r="F32" s="563"/>
      <c r="G32" s="562">
        <f>100000+(A32-10)*(IF(A32&lt;=$D$24,$O$24,IF(A32&lt;=$D$25,$O$25,IF(A32&lt;=$D$26,$O$26))))</f>
        <v>109000</v>
      </c>
      <c r="H32" s="563"/>
      <c r="J32" s="430">
        <f>J31+1</f>
        <v>42</v>
      </c>
      <c r="K32" s="431"/>
      <c r="L32" s="561">
        <f>((1-IF(J32&lt;=$D$23,$G$23,IF(J32&lt;=$D$24,$G$24,IF(J32&lt;=$D$25,$G$25,IF(J32&lt;=$D$26,$G$26))))/100))*N32+P32</f>
        <v>432000</v>
      </c>
      <c r="M32" s="561"/>
      <c r="N32" s="562">
        <f t="shared" ref="N32:N60" si="0">IF(J32&lt;=$D$23,$K$23,IF(J32&lt;=$D$24,$K$24,IF(J32&lt;=$D$25,$K$25,IF(J32&lt;=$D$26,$K$26))))</f>
        <v>150000</v>
      </c>
      <c r="O32" s="563"/>
      <c r="P32" s="562">
        <f>100000+(J32-10)*(IF(J32&lt;=$D$24,$O$24,IF(J32&lt;=$D$25,$O$25,IF(J32&lt;=$D$26,$O$26))))</f>
        <v>372000</v>
      </c>
      <c r="Q32" s="563"/>
      <c r="R32" s="235"/>
      <c r="S32" s="235"/>
      <c r="V32" s="235"/>
      <c r="W32" s="235"/>
      <c r="Y32" s="235"/>
      <c r="Z32" s="235"/>
    </row>
    <row r="33" spans="1:26" ht="16.5" customHeight="1" x14ac:dyDescent="0.3">
      <c r="A33" s="430">
        <f>A32+1</f>
        <v>12</v>
      </c>
      <c r="B33" s="431"/>
      <c r="C33" s="561">
        <f t="shared" ref="C33:C61" si="1">((1-IF(A33&lt;=$D$23,$G$23,IF(A33&lt;=$D$24,$G$24,IF(A33&lt;=$D$25,$G$25,IF(A33&lt;=$D$26,$G$26))))/100))*E33+G33</f>
        <v>148000</v>
      </c>
      <c r="D33" s="561"/>
      <c r="E33" s="562">
        <f t="shared" ref="E33:E61" si="2">IF(A33&lt;=$D$23,$K$23,IF(A33&lt;=$D$24,$K$24,IF(A33&lt;=$D$25,$K$25,IF(A33&lt;=$D$26,$K$26))))</f>
        <v>100000</v>
      </c>
      <c r="F33" s="563"/>
      <c r="G33" s="562">
        <f t="shared" ref="G33:G60" si="3">100000+(A33-10)*(IF(A33&lt;=$D$24,$O$24,IF(A33&lt;=$D$25,$O$25,IF(A33&lt;=$D$26,$O$26))))</f>
        <v>118000</v>
      </c>
      <c r="H33" s="563"/>
      <c r="J33" s="430">
        <f>J32+1</f>
        <v>43</v>
      </c>
      <c r="K33" s="431"/>
      <c r="L33" s="561">
        <f t="shared" ref="L33:L61" si="4">((1-IF(J33&lt;=$D$23,$G$23,IF(J33&lt;=$D$24,$G$24,IF(J33&lt;=$D$25,$G$25,IF(J33&lt;=$D$26,$G$26))))/100))*N33+P33</f>
        <v>440500</v>
      </c>
      <c r="M33" s="561"/>
      <c r="N33" s="562">
        <f t="shared" si="0"/>
        <v>150000</v>
      </c>
      <c r="O33" s="563"/>
      <c r="P33" s="562">
        <f t="shared" ref="P33:P61" si="5">100000+(J33-10)*(IF(J33&lt;=$D$24,$O$24,IF(J33&lt;=$D$25,$O$25,IF(J33&lt;=$D$26,$O$26))))</f>
        <v>380500</v>
      </c>
      <c r="Q33" s="563"/>
      <c r="R33" s="235"/>
      <c r="S33" s="235"/>
      <c r="V33" s="235"/>
      <c r="W33" s="235"/>
      <c r="Y33" s="235"/>
      <c r="Z33" s="235"/>
    </row>
    <row r="34" spans="1:26" ht="16.5" customHeight="1" x14ac:dyDescent="0.3">
      <c r="A34" s="430">
        <f t="shared" ref="A34:A43" si="6">A33+1</f>
        <v>13</v>
      </c>
      <c r="B34" s="431"/>
      <c r="C34" s="561">
        <f t="shared" si="1"/>
        <v>157000</v>
      </c>
      <c r="D34" s="561"/>
      <c r="E34" s="562">
        <f t="shared" si="2"/>
        <v>100000</v>
      </c>
      <c r="F34" s="563"/>
      <c r="G34" s="562">
        <f t="shared" si="3"/>
        <v>127000</v>
      </c>
      <c r="H34" s="563"/>
      <c r="J34" s="430">
        <f t="shared" ref="J34:J61" si="7">J33+1</f>
        <v>44</v>
      </c>
      <c r="K34" s="431"/>
      <c r="L34" s="561">
        <f t="shared" si="4"/>
        <v>449000</v>
      </c>
      <c r="M34" s="561"/>
      <c r="N34" s="562">
        <f t="shared" si="0"/>
        <v>150000</v>
      </c>
      <c r="O34" s="563"/>
      <c r="P34" s="562">
        <f t="shared" si="5"/>
        <v>389000</v>
      </c>
      <c r="Q34" s="563"/>
      <c r="R34" s="235"/>
      <c r="S34" s="235"/>
      <c r="V34" s="235"/>
      <c r="W34" s="235"/>
      <c r="Y34" s="235"/>
      <c r="Z34" s="235"/>
    </row>
    <row r="35" spans="1:26" ht="16.5" customHeight="1" x14ac:dyDescent="0.3">
      <c r="A35" s="430">
        <f t="shared" si="6"/>
        <v>14</v>
      </c>
      <c r="B35" s="431"/>
      <c r="C35" s="561">
        <f t="shared" si="1"/>
        <v>166000</v>
      </c>
      <c r="D35" s="561"/>
      <c r="E35" s="562">
        <f t="shared" si="2"/>
        <v>100000</v>
      </c>
      <c r="F35" s="563"/>
      <c r="G35" s="562">
        <f t="shared" si="3"/>
        <v>136000</v>
      </c>
      <c r="H35" s="563"/>
      <c r="J35" s="430">
        <f t="shared" si="7"/>
        <v>45</v>
      </c>
      <c r="K35" s="431"/>
      <c r="L35" s="561">
        <f t="shared" si="4"/>
        <v>457500</v>
      </c>
      <c r="M35" s="561"/>
      <c r="N35" s="562">
        <f t="shared" si="0"/>
        <v>150000</v>
      </c>
      <c r="O35" s="563"/>
      <c r="P35" s="562">
        <f t="shared" si="5"/>
        <v>397500</v>
      </c>
      <c r="Q35" s="563"/>
      <c r="R35" s="235"/>
      <c r="S35" s="235"/>
      <c r="V35" s="235"/>
      <c r="W35" s="235"/>
      <c r="Y35" s="235"/>
      <c r="Z35" s="235"/>
    </row>
    <row r="36" spans="1:26" ht="16.5" customHeight="1" x14ac:dyDescent="0.3">
      <c r="A36" s="430">
        <f t="shared" si="6"/>
        <v>15</v>
      </c>
      <c r="B36" s="431"/>
      <c r="C36" s="561">
        <f t="shared" si="1"/>
        <v>175000</v>
      </c>
      <c r="D36" s="561"/>
      <c r="E36" s="562">
        <f t="shared" si="2"/>
        <v>100000</v>
      </c>
      <c r="F36" s="563"/>
      <c r="G36" s="562">
        <f t="shared" si="3"/>
        <v>145000</v>
      </c>
      <c r="H36" s="563"/>
      <c r="J36" s="430">
        <f t="shared" si="7"/>
        <v>46</v>
      </c>
      <c r="K36" s="431"/>
      <c r="L36" s="561">
        <f t="shared" si="4"/>
        <v>466000</v>
      </c>
      <c r="M36" s="561"/>
      <c r="N36" s="562">
        <f t="shared" si="0"/>
        <v>150000</v>
      </c>
      <c r="O36" s="563"/>
      <c r="P36" s="562">
        <f t="shared" si="5"/>
        <v>406000</v>
      </c>
      <c r="Q36" s="563"/>
      <c r="R36" s="235"/>
      <c r="S36" s="235"/>
      <c r="V36" s="235"/>
      <c r="W36" s="235"/>
      <c r="Y36" s="235"/>
      <c r="Z36" s="235"/>
    </row>
    <row r="37" spans="1:26" ht="16.5" customHeight="1" x14ac:dyDescent="0.3">
      <c r="A37" s="430">
        <f t="shared" si="6"/>
        <v>16</v>
      </c>
      <c r="B37" s="431"/>
      <c r="C37" s="561">
        <f t="shared" si="1"/>
        <v>184000</v>
      </c>
      <c r="D37" s="561"/>
      <c r="E37" s="562">
        <f t="shared" si="2"/>
        <v>100000</v>
      </c>
      <c r="F37" s="563"/>
      <c r="G37" s="562">
        <f t="shared" si="3"/>
        <v>154000</v>
      </c>
      <c r="H37" s="563"/>
      <c r="J37" s="430">
        <f t="shared" si="7"/>
        <v>47</v>
      </c>
      <c r="K37" s="431"/>
      <c r="L37" s="561">
        <f t="shared" si="4"/>
        <v>474500</v>
      </c>
      <c r="M37" s="561"/>
      <c r="N37" s="562">
        <f t="shared" si="0"/>
        <v>150000</v>
      </c>
      <c r="O37" s="563"/>
      <c r="P37" s="562">
        <f t="shared" si="5"/>
        <v>414500</v>
      </c>
      <c r="Q37" s="563"/>
      <c r="R37" s="235"/>
      <c r="S37" s="235"/>
      <c r="V37" s="235"/>
      <c r="W37" s="235"/>
      <c r="Y37" s="235"/>
      <c r="Z37" s="235"/>
    </row>
    <row r="38" spans="1:26" ht="16.5" customHeight="1" x14ac:dyDescent="0.3">
      <c r="A38" s="430">
        <f t="shared" si="6"/>
        <v>17</v>
      </c>
      <c r="B38" s="431"/>
      <c r="C38" s="561">
        <f t="shared" si="1"/>
        <v>193000</v>
      </c>
      <c r="D38" s="561"/>
      <c r="E38" s="562">
        <f t="shared" si="2"/>
        <v>100000</v>
      </c>
      <c r="F38" s="563"/>
      <c r="G38" s="562">
        <f t="shared" si="3"/>
        <v>163000</v>
      </c>
      <c r="H38" s="563"/>
      <c r="J38" s="430">
        <f t="shared" si="7"/>
        <v>48</v>
      </c>
      <c r="K38" s="431"/>
      <c r="L38" s="561">
        <f t="shared" si="4"/>
        <v>483000</v>
      </c>
      <c r="M38" s="561"/>
      <c r="N38" s="562">
        <f t="shared" si="0"/>
        <v>150000</v>
      </c>
      <c r="O38" s="563"/>
      <c r="P38" s="562">
        <f t="shared" si="5"/>
        <v>423000</v>
      </c>
      <c r="Q38" s="563"/>
      <c r="R38" s="235"/>
      <c r="S38" s="235"/>
      <c r="V38" s="235"/>
      <c r="W38" s="235"/>
      <c r="Y38" s="235"/>
      <c r="Z38" s="235"/>
    </row>
    <row r="39" spans="1:26" ht="16.5" customHeight="1" x14ac:dyDescent="0.3">
      <c r="A39" s="430">
        <f t="shared" si="6"/>
        <v>18</v>
      </c>
      <c r="B39" s="431"/>
      <c r="C39" s="561">
        <f t="shared" si="1"/>
        <v>202000</v>
      </c>
      <c r="D39" s="561"/>
      <c r="E39" s="562">
        <f t="shared" si="2"/>
        <v>100000</v>
      </c>
      <c r="F39" s="563"/>
      <c r="G39" s="562">
        <f t="shared" si="3"/>
        <v>172000</v>
      </c>
      <c r="H39" s="563"/>
      <c r="J39" s="430">
        <f t="shared" si="7"/>
        <v>49</v>
      </c>
      <c r="K39" s="431"/>
      <c r="L39" s="561">
        <f t="shared" si="4"/>
        <v>491500</v>
      </c>
      <c r="M39" s="561"/>
      <c r="N39" s="562">
        <f t="shared" si="0"/>
        <v>150000</v>
      </c>
      <c r="O39" s="563"/>
      <c r="P39" s="562">
        <f t="shared" si="5"/>
        <v>431500</v>
      </c>
      <c r="Q39" s="563"/>
      <c r="R39" s="235"/>
      <c r="S39" s="235"/>
    </row>
    <row r="40" spans="1:26" ht="16.5" customHeight="1" x14ac:dyDescent="0.3">
      <c r="A40" s="430">
        <f t="shared" si="6"/>
        <v>19</v>
      </c>
      <c r="B40" s="431"/>
      <c r="C40" s="561">
        <f t="shared" si="1"/>
        <v>211000</v>
      </c>
      <c r="D40" s="561"/>
      <c r="E40" s="562">
        <f t="shared" si="2"/>
        <v>100000</v>
      </c>
      <c r="F40" s="563"/>
      <c r="G40" s="562">
        <f t="shared" si="3"/>
        <v>181000</v>
      </c>
      <c r="H40" s="563"/>
      <c r="J40" s="564">
        <f t="shared" si="7"/>
        <v>50</v>
      </c>
      <c r="K40" s="565"/>
      <c r="L40" s="566">
        <f t="shared" si="4"/>
        <v>500000</v>
      </c>
      <c r="M40" s="566"/>
      <c r="N40" s="567">
        <f t="shared" si="0"/>
        <v>150000</v>
      </c>
      <c r="O40" s="568"/>
      <c r="P40" s="567">
        <f t="shared" si="5"/>
        <v>440000</v>
      </c>
      <c r="Q40" s="568"/>
      <c r="R40" s="235"/>
      <c r="S40" s="235"/>
    </row>
    <row r="41" spans="1:26" ht="16.5" customHeight="1" x14ac:dyDescent="0.3">
      <c r="A41" s="564">
        <f t="shared" si="6"/>
        <v>20</v>
      </c>
      <c r="B41" s="565"/>
      <c r="C41" s="566">
        <f t="shared" si="1"/>
        <v>220000</v>
      </c>
      <c r="D41" s="566"/>
      <c r="E41" s="567">
        <f t="shared" si="2"/>
        <v>100000</v>
      </c>
      <c r="F41" s="568"/>
      <c r="G41" s="567">
        <f t="shared" si="3"/>
        <v>190000</v>
      </c>
      <c r="H41" s="568"/>
      <c r="J41" s="430">
        <f t="shared" si="7"/>
        <v>51</v>
      </c>
      <c r="K41" s="431"/>
      <c r="L41" s="561">
        <f t="shared" si="4"/>
        <v>528000</v>
      </c>
      <c r="M41" s="561"/>
      <c r="N41" s="562">
        <f t="shared" si="0"/>
        <v>200000</v>
      </c>
      <c r="O41" s="563"/>
      <c r="P41" s="562">
        <f t="shared" si="5"/>
        <v>428000</v>
      </c>
      <c r="Q41" s="563"/>
      <c r="R41" s="235"/>
      <c r="S41" s="235"/>
    </row>
    <row r="42" spans="1:26" ht="16.5" customHeight="1" x14ac:dyDescent="0.3">
      <c r="A42" s="430">
        <f t="shared" si="6"/>
        <v>21</v>
      </c>
      <c r="B42" s="431"/>
      <c r="C42" s="561">
        <f t="shared" si="1"/>
        <v>229000</v>
      </c>
      <c r="D42" s="561"/>
      <c r="E42" s="562">
        <f t="shared" si="2"/>
        <v>100000</v>
      </c>
      <c r="F42" s="563"/>
      <c r="G42" s="562">
        <f t="shared" si="3"/>
        <v>199000</v>
      </c>
      <c r="H42" s="563"/>
      <c r="J42" s="430">
        <f t="shared" si="7"/>
        <v>52</v>
      </c>
      <c r="K42" s="431"/>
      <c r="L42" s="561">
        <f t="shared" si="4"/>
        <v>536000</v>
      </c>
      <c r="M42" s="561"/>
      <c r="N42" s="562">
        <f t="shared" si="0"/>
        <v>200000</v>
      </c>
      <c r="O42" s="563"/>
      <c r="P42" s="562">
        <f t="shared" si="5"/>
        <v>436000</v>
      </c>
      <c r="Q42" s="563"/>
      <c r="R42" s="235"/>
      <c r="S42" s="235"/>
    </row>
    <row r="43" spans="1:26" ht="16.5" customHeight="1" x14ac:dyDescent="0.3">
      <c r="A43" s="430">
        <f t="shared" si="6"/>
        <v>22</v>
      </c>
      <c r="B43" s="431"/>
      <c r="C43" s="561">
        <f t="shared" si="1"/>
        <v>238000</v>
      </c>
      <c r="D43" s="561"/>
      <c r="E43" s="562">
        <f t="shared" si="2"/>
        <v>100000</v>
      </c>
      <c r="F43" s="563"/>
      <c r="G43" s="562">
        <f t="shared" si="3"/>
        <v>208000</v>
      </c>
      <c r="H43" s="563"/>
      <c r="J43" s="430">
        <f t="shared" si="7"/>
        <v>53</v>
      </c>
      <c r="K43" s="431"/>
      <c r="L43" s="561">
        <f t="shared" si="4"/>
        <v>544000</v>
      </c>
      <c r="M43" s="561"/>
      <c r="N43" s="562">
        <f t="shared" si="0"/>
        <v>200000</v>
      </c>
      <c r="O43" s="563"/>
      <c r="P43" s="562">
        <f t="shared" si="5"/>
        <v>444000</v>
      </c>
      <c r="Q43" s="563"/>
      <c r="R43" s="235"/>
      <c r="S43" s="235"/>
    </row>
    <row r="44" spans="1:26" ht="16.5" customHeight="1" x14ac:dyDescent="0.3">
      <c r="A44" s="430">
        <f t="shared" ref="A44:A61" si="8">A43+1</f>
        <v>23</v>
      </c>
      <c r="B44" s="431"/>
      <c r="C44" s="561">
        <f t="shared" si="1"/>
        <v>247000</v>
      </c>
      <c r="D44" s="561"/>
      <c r="E44" s="562">
        <f t="shared" si="2"/>
        <v>100000</v>
      </c>
      <c r="F44" s="563"/>
      <c r="G44" s="562">
        <f t="shared" si="3"/>
        <v>217000</v>
      </c>
      <c r="H44" s="563"/>
      <c r="J44" s="430">
        <f t="shared" si="7"/>
        <v>54</v>
      </c>
      <c r="K44" s="431"/>
      <c r="L44" s="561">
        <f t="shared" si="4"/>
        <v>552000</v>
      </c>
      <c r="M44" s="561"/>
      <c r="N44" s="562">
        <f t="shared" si="0"/>
        <v>200000</v>
      </c>
      <c r="O44" s="563"/>
      <c r="P44" s="562">
        <f t="shared" si="5"/>
        <v>452000</v>
      </c>
      <c r="Q44" s="563"/>
      <c r="R44" s="235"/>
      <c r="S44" s="235"/>
    </row>
    <row r="45" spans="1:26" ht="16.5" customHeight="1" x14ac:dyDescent="0.3">
      <c r="A45" s="430">
        <f t="shared" si="8"/>
        <v>24</v>
      </c>
      <c r="B45" s="431"/>
      <c r="C45" s="561">
        <f t="shared" si="1"/>
        <v>256000</v>
      </c>
      <c r="D45" s="561"/>
      <c r="E45" s="562">
        <f t="shared" si="2"/>
        <v>100000</v>
      </c>
      <c r="F45" s="563"/>
      <c r="G45" s="562">
        <f t="shared" si="3"/>
        <v>226000</v>
      </c>
      <c r="H45" s="563"/>
      <c r="J45" s="430">
        <f t="shared" si="7"/>
        <v>55</v>
      </c>
      <c r="K45" s="431"/>
      <c r="L45" s="561">
        <f t="shared" si="4"/>
        <v>560000</v>
      </c>
      <c r="M45" s="561"/>
      <c r="N45" s="562">
        <f t="shared" si="0"/>
        <v>200000</v>
      </c>
      <c r="O45" s="563"/>
      <c r="P45" s="562">
        <f t="shared" si="5"/>
        <v>460000</v>
      </c>
      <c r="Q45" s="563"/>
      <c r="R45" s="235"/>
      <c r="S45" s="235"/>
    </row>
    <row r="46" spans="1:26" ht="16.5" customHeight="1" x14ac:dyDescent="0.3">
      <c r="A46" s="430">
        <f t="shared" si="8"/>
        <v>25</v>
      </c>
      <c r="B46" s="431"/>
      <c r="C46" s="561">
        <f t="shared" si="1"/>
        <v>265000</v>
      </c>
      <c r="D46" s="561"/>
      <c r="E46" s="562">
        <f t="shared" si="2"/>
        <v>100000</v>
      </c>
      <c r="F46" s="563"/>
      <c r="G46" s="562">
        <f t="shared" si="3"/>
        <v>235000</v>
      </c>
      <c r="H46" s="563"/>
      <c r="J46" s="430">
        <f t="shared" si="7"/>
        <v>56</v>
      </c>
      <c r="K46" s="431"/>
      <c r="L46" s="561">
        <f t="shared" si="4"/>
        <v>568000</v>
      </c>
      <c r="M46" s="561"/>
      <c r="N46" s="562">
        <f t="shared" si="0"/>
        <v>200000</v>
      </c>
      <c r="O46" s="563"/>
      <c r="P46" s="562">
        <f t="shared" si="5"/>
        <v>468000</v>
      </c>
      <c r="Q46" s="563"/>
      <c r="R46" s="235"/>
      <c r="S46" s="235"/>
    </row>
    <row r="47" spans="1:26" ht="16.5" customHeight="1" x14ac:dyDescent="0.3">
      <c r="A47" s="430">
        <f t="shared" si="8"/>
        <v>26</v>
      </c>
      <c r="B47" s="431"/>
      <c r="C47" s="561">
        <f t="shared" si="1"/>
        <v>274000</v>
      </c>
      <c r="D47" s="561"/>
      <c r="E47" s="562">
        <f t="shared" si="2"/>
        <v>100000</v>
      </c>
      <c r="F47" s="563"/>
      <c r="G47" s="562">
        <f t="shared" si="3"/>
        <v>244000</v>
      </c>
      <c r="H47" s="563"/>
      <c r="J47" s="430">
        <f t="shared" si="7"/>
        <v>57</v>
      </c>
      <c r="K47" s="431"/>
      <c r="L47" s="561">
        <f t="shared" si="4"/>
        <v>576000</v>
      </c>
      <c r="M47" s="561"/>
      <c r="N47" s="562">
        <f t="shared" si="0"/>
        <v>200000</v>
      </c>
      <c r="O47" s="563"/>
      <c r="P47" s="562">
        <f t="shared" si="5"/>
        <v>476000</v>
      </c>
      <c r="Q47" s="563"/>
      <c r="R47" s="235"/>
      <c r="S47" s="235"/>
    </row>
    <row r="48" spans="1:26" ht="16.5" customHeight="1" x14ac:dyDescent="0.3">
      <c r="A48" s="430">
        <f t="shared" si="8"/>
        <v>27</v>
      </c>
      <c r="B48" s="431"/>
      <c r="C48" s="561">
        <f t="shared" si="1"/>
        <v>283000</v>
      </c>
      <c r="D48" s="561"/>
      <c r="E48" s="562">
        <f t="shared" si="2"/>
        <v>100000</v>
      </c>
      <c r="F48" s="563"/>
      <c r="G48" s="562">
        <f t="shared" si="3"/>
        <v>253000</v>
      </c>
      <c r="H48" s="563"/>
      <c r="J48" s="430">
        <f t="shared" si="7"/>
        <v>58</v>
      </c>
      <c r="K48" s="431"/>
      <c r="L48" s="561">
        <f t="shared" si="4"/>
        <v>584000</v>
      </c>
      <c r="M48" s="561"/>
      <c r="N48" s="562">
        <f t="shared" si="0"/>
        <v>200000</v>
      </c>
      <c r="O48" s="563"/>
      <c r="P48" s="562">
        <f t="shared" si="5"/>
        <v>484000</v>
      </c>
      <c r="Q48" s="563"/>
      <c r="R48" s="235"/>
      <c r="S48" s="235"/>
    </row>
    <row r="49" spans="1:19" ht="16.5" customHeight="1" x14ac:dyDescent="0.3">
      <c r="A49" s="430">
        <f t="shared" si="8"/>
        <v>28</v>
      </c>
      <c r="B49" s="431"/>
      <c r="C49" s="561">
        <f t="shared" si="1"/>
        <v>292000</v>
      </c>
      <c r="D49" s="561"/>
      <c r="E49" s="562">
        <f t="shared" si="2"/>
        <v>100000</v>
      </c>
      <c r="F49" s="563"/>
      <c r="G49" s="562">
        <f t="shared" si="3"/>
        <v>262000</v>
      </c>
      <c r="H49" s="563"/>
      <c r="J49" s="430">
        <f t="shared" si="7"/>
        <v>59</v>
      </c>
      <c r="K49" s="431"/>
      <c r="L49" s="561">
        <f t="shared" si="4"/>
        <v>592000</v>
      </c>
      <c r="M49" s="561"/>
      <c r="N49" s="562">
        <f t="shared" si="0"/>
        <v>200000</v>
      </c>
      <c r="O49" s="563"/>
      <c r="P49" s="562">
        <f t="shared" si="5"/>
        <v>492000</v>
      </c>
      <c r="Q49" s="563"/>
      <c r="R49" s="235"/>
      <c r="S49" s="235"/>
    </row>
    <row r="50" spans="1:19" ht="16.5" customHeight="1" x14ac:dyDescent="0.3">
      <c r="A50" s="430">
        <f t="shared" si="8"/>
        <v>29</v>
      </c>
      <c r="B50" s="431"/>
      <c r="C50" s="561">
        <f t="shared" si="1"/>
        <v>301000</v>
      </c>
      <c r="D50" s="561"/>
      <c r="E50" s="562">
        <f t="shared" si="2"/>
        <v>100000</v>
      </c>
      <c r="F50" s="563"/>
      <c r="G50" s="562">
        <f t="shared" si="3"/>
        <v>271000</v>
      </c>
      <c r="H50" s="563"/>
      <c r="J50" s="564">
        <f t="shared" si="7"/>
        <v>60</v>
      </c>
      <c r="K50" s="565"/>
      <c r="L50" s="566">
        <f t="shared" si="4"/>
        <v>600000</v>
      </c>
      <c r="M50" s="566"/>
      <c r="N50" s="567">
        <f t="shared" si="0"/>
        <v>200000</v>
      </c>
      <c r="O50" s="568"/>
      <c r="P50" s="567">
        <f t="shared" si="5"/>
        <v>500000</v>
      </c>
      <c r="Q50" s="568"/>
      <c r="R50" s="235"/>
      <c r="S50" s="235"/>
    </row>
    <row r="51" spans="1:19" ht="16.5" customHeight="1" x14ac:dyDescent="0.3">
      <c r="A51" s="564">
        <f t="shared" si="8"/>
        <v>30</v>
      </c>
      <c r="B51" s="565"/>
      <c r="C51" s="566">
        <f t="shared" si="1"/>
        <v>310000</v>
      </c>
      <c r="D51" s="566"/>
      <c r="E51" s="567">
        <f t="shared" si="2"/>
        <v>100000</v>
      </c>
      <c r="F51" s="568"/>
      <c r="G51" s="567">
        <f t="shared" si="3"/>
        <v>280000</v>
      </c>
      <c r="H51" s="568"/>
      <c r="J51" s="430">
        <f t="shared" si="7"/>
        <v>61</v>
      </c>
      <c r="K51" s="431"/>
      <c r="L51" s="561">
        <f t="shared" si="4"/>
        <v>608000</v>
      </c>
      <c r="M51" s="561"/>
      <c r="N51" s="562">
        <f t="shared" si="0"/>
        <v>200000</v>
      </c>
      <c r="O51" s="563"/>
      <c r="P51" s="562">
        <f t="shared" si="5"/>
        <v>508000</v>
      </c>
      <c r="Q51" s="563"/>
      <c r="R51" s="235"/>
      <c r="S51" s="235"/>
    </row>
    <row r="52" spans="1:19" ht="16.5" customHeight="1" x14ac:dyDescent="0.3">
      <c r="A52" s="430">
        <f t="shared" si="8"/>
        <v>31</v>
      </c>
      <c r="B52" s="431"/>
      <c r="C52" s="561">
        <f t="shared" si="1"/>
        <v>338500</v>
      </c>
      <c r="D52" s="561"/>
      <c r="E52" s="562">
        <f t="shared" si="2"/>
        <v>150000</v>
      </c>
      <c r="F52" s="563"/>
      <c r="G52" s="562">
        <f t="shared" si="3"/>
        <v>278500</v>
      </c>
      <c r="H52" s="563"/>
      <c r="J52" s="430">
        <f t="shared" si="7"/>
        <v>62</v>
      </c>
      <c r="K52" s="431"/>
      <c r="L52" s="561">
        <f t="shared" si="4"/>
        <v>616000</v>
      </c>
      <c r="M52" s="561"/>
      <c r="N52" s="562">
        <f t="shared" si="0"/>
        <v>200000</v>
      </c>
      <c r="O52" s="563"/>
      <c r="P52" s="562">
        <f t="shared" si="5"/>
        <v>516000</v>
      </c>
      <c r="Q52" s="563"/>
      <c r="R52" s="235"/>
      <c r="S52" s="235"/>
    </row>
    <row r="53" spans="1:19" ht="16.5" customHeight="1" x14ac:dyDescent="0.3">
      <c r="A53" s="430">
        <f t="shared" si="8"/>
        <v>32</v>
      </c>
      <c r="B53" s="431"/>
      <c r="C53" s="561">
        <f t="shared" si="1"/>
        <v>347000</v>
      </c>
      <c r="D53" s="561"/>
      <c r="E53" s="562">
        <f t="shared" si="2"/>
        <v>150000</v>
      </c>
      <c r="F53" s="563"/>
      <c r="G53" s="562">
        <f t="shared" si="3"/>
        <v>287000</v>
      </c>
      <c r="H53" s="563"/>
      <c r="J53" s="430">
        <f t="shared" si="7"/>
        <v>63</v>
      </c>
      <c r="K53" s="431"/>
      <c r="L53" s="561">
        <f t="shared" si="4"/>
        <v>624000</v>
      </c>
      <c r="M53" s="561"/>
      <c r="N53" s="562">
        <f t="shared" si="0"/>
        <v>200000</v>
      </c>
      <c r="O53" s="563"/>
      <c r="P53" s="562">
        <f t="shared" si="5"/>
        <v>524000</v>
      </c>
      <c r="Q53" s="563"/>
      <c r="R53" s="235"/>
      <c r="S53" s="235"/>
    </row>
    <row r="54" spans="1:19" ht="16.5" customHeight="1" x14ac:dyDescent="0.3">
      <c r="A54" s="430">
        <f t="shared" si="8"/>
        <v>33</v>
      </c>
      <c r="B54" s="431"/>
      <c r="C54" s="561">
        <f t="shared" si="1"/>
        <v>355500</v>
      </c>
      <c r="D54" s="561"/>
      <c r="E54" s="562">
        <f t="shared" si="2"/>
        <v>150000</v>
      </c>
      <c r="F54" s="563"/>
      <c r="G54" s="562">
        <f t="shared" si="3"/>
        <v>295500</v>
      </c>
      <c r="H54" s="563"/>
      <c r="J54" s="430">
        <f t="shared" si="7"/>
        <v>64</v>
      </c>
      <c r="K54" s="431"/>
      <c r="L54" s="561">
        <f t="shared" si="4"/>
        <v>632000</v>
      </c>
      <c r="M54" s="561"/>
      <c r="N54" s="562">
        <f t="shared" si="0"/>
        <v>200000</v>
      </c>
      <c r="O54" s="563"/>
      <c r="P54" s="562">
        <f t="shared" si="5"/>
        <v>532000</v>
      </c>
      <c r="Q54" s="563"/>
      <c r="R54" s="235"/>
      <c r="S54" s="235"/>
    </row>
    <row r="55" spans="1:19" ht="16.5" customHeight="1" x14ac:dyDescent="0.3">
      <c r="A55" s="430">
        <f t="shared" si="8"/>
        <v>34</v>
      </c>
      <c r="B55" s="431"/>
      <c r="C55" s="561">
        <f t="shared" si="1"/>
        <v>364000</v>
      </c>
      <c r="D55" s="561"/>
      <c r="E55" s="562">
        <f t="shared" si="2"/>
        <v>150000</v>
      </c>
      <c r="F55" s="563"/>
      <c r="G55" s="562">
        <f t="shared" si="3"/>
        <v>304000</v>
      </c>
      <c r="H55" s="563"/>
      <c r="J55" s="430">
        <f t="shared" si="7"/>
        <v>65</v>
      </c>
      <c r="K55" s="431"/>
      <c r="L55" s="561">
        <f t="shared" si="4"/>
        <v>640000</v>
      </c>
      <c r="M55" s="561"/>
      <c r="N55" s="562">
        <f t="shared" si="0"/>
        <v>200000</v>
      </c>
      <c r="O55" s="563"/>
      <c r="P55" s="562">
        <f t="shared" si="5"/>
        <v>540000</v>
      </c>
      <c r="Q55" s="563"/>
      <c r="R55" s="235"/>
      <c r="S55" s="235"/>
    </row>
    <row r="56" spans="1:19" ht="16.5" customHeight="1" x14ac:dyDescent="0.3">
      <c r="A56" s="430">
        <f t="shared" si="8"/>
        <v>35</v>
      </c>
      <c r="B56" s="431"/>
      <c r="C56" s="561">
        <f t="shared" si="1"/>
        <v>372500</v>
      </c>
      <c r="D56" s="561"/>
      <c r="E56" s="562">
        <f t="shared" si="2"/>
        <v>150000</v>
      </c>
      <c r="F56" s="563"/>
      <c r="G56" s="562">
        <f t="shared" si="3"/>
        <v>312500</v>
      </c>
      <c r="H56" s="563"/>
      <c r="J56" s="430">
        <f t="shared" si="7"/>
        <v>66</v>
      </c>
      <c r="K56" s="431"/>
      <c r="L56" s="561">
        <f t="shared" si="4"/>
        <v>648000</v>
      </c>
      <c r="M56" s="561"/>
      <c r="N56" s="562">
        <f t="shared" si="0"/>
        <v>200000</v>
      </c>
      <c r="O56" s="563"/>
      <c r="P56" s="562">
        <f t="shared" si="5"/>
        <v>548000</v>
      </c>
      <c r="Q56" s="563"/>
      <c r="R56" s="235"/>
      <c r="S56" s="235"/>
    </row>
    <row r="57" spans="1:19" ht="16.5" customHeight="1" x14ac:dyDescent="0.3">
      <c r="A57" s="430">
        <f t="shared" si="8"/>
        <v>36</v>
      </c>
      <c r="B57" s="431"/>
      <c r="C57" s="561">
        <f t="shared" si="1"/>
        <v>381000</v>
      </c>
      <c r="D57" s="561"/>
      <c r="E57" s="562">
        <f t="shared" si="2"/>
        <v>150000</v>
      </c>
      <c r="F57" s="563"/>
      <c r="G57" s="562">
        <f t="shared" si="3"/>
        <v>321000</v>
      </c>
      <c r="H57" s="563"/>
      <c r="J57" s="430">
        <f t="shared" si="7"/>
        <v>67</v>
      </c>
      <c r="K57" s="431"/>
      <c r="L57" s="561">
        <f t="shared" si="4"/>
        <v>656000</v>
      </c>
      <c r="M57" s="561"/>
      <c r="N57" s="562">
        <f t="shared" si="0"/>
        <v>200000</v>
      </c>
      <c r="O57" s="563"/>
      <c r="P57" s="562">
        <f t="shared" si="5"/>
        <v>556000</v>
      </c>
      <c r="Q57" s="563"/>
      <c r="R57" s="235"/>
      <c r="S57" s="235"/>
    </row>
    <row r="58" spans="1:19" ht="16.5" customHeight="1" x14ac:dyDescent="0.3">
      <c r="A58" s="430">
        <f t="shared" si="8"/>
        <v>37</v>
      </c>
      <c r="B58" s="431"/>
      <c r="C58" s="561">
        <f t="shared" si="1"/>
        <v>389500</v>
      </c>
      <c r="D58" s="561"/>
      <c r="E58" s="562">
        <f t="shared" si="2"/>
        <v>150000</v>
      </c>
      <c r="F58" s="563"/>
      <c r="G58" s="562">
        <f t="shared" si="3"/>
        <v>329500</v>
      </c>
      <c r="H58" s="563"/>
      <c r="J58" s="430">
        <f t="shared" si="7"/>
        <v>68</v>
      </c>
      <c r="K58" s="431"/>
      <c r="L58" s="561">
        <f t="shared" si="4"/>
        <v>664000</v>
      </c>
      <c r="M58" s="561"/>
      <c r="N58" s="562">
        <f t="shared" si="0"/>
        <v>200000</v>
      </c>
      <c r="O58" s="563"/>
      <c r="P58" s="562">
        <f t="shared" si="5"/>
        <v>564000</v>
      </c>
      <c r="Q58" s="563"/>
      <c r="R58" s="235"/>
      <c r="S58" s="235"/>
    </row>
    <row r="59" spans="1:19" ht="16.5" customHeight="1" x14ac:dyDescent="0.3">
      <c r="A59" s="430">
        <f t="shared" si="8"/>
        <v>38</v>
      </c>
      <c r="B59" s="431"/>
      <c r="C59" s="561">
        <f t="shared" si="1"/>
        <v>398000</v>
      </c>
      <c r="D59" s="561"/>
      <c r="E59" s="562">
        <f t="shared" si="2"/>
        <v>150000</v>
      </c>
      <c r="F59" s="563"/>
      <c r="G59" s="562">
        <f t="shared" si="3"/>
        <v>338000</v>
      </c>
      <c r="H59" s="563"/>
      <c r="J59" s="430">
        <f t="shared" si="7"/>
        <v>69</v>
      </c>
      <c r="K59" s="431"/>
      <c r="L59" s="561">
        <f t="shared" si="4"/>
        <v>672000</v>
      </c>
      <c r="M59" s="561"/>
      <c r="N59" s="562">
        <f t="shared" si="0"/>
        <v>200000</v>
      </c>
      <c r="O59" s="563"/>
      <c r="P59" s="562">
        <f t="shared" si="5"/>
        <v>572000</v>
      </c>
      <c r="Q59" s="563"/>
      <c r="R59" s="235"/>
      <c r="S59" s="235"/>
    </row>
    <row r="60" spans="1:19" ht="16.5" customHeight="1" x14ac:dyDescent="0.3">
      <c r="A60" s="430">
        <f t="shared" si="8"/>
        <v>39</v>
      </c>
      <c r="B60" s="431"/>
      <c r="C60" s="561">
        <f t="shared" si="1"/>
        <v>406500</v>
      </c>
      <c r="D60" s="561"/>
      <c r="E60" s="562">
        <f t="shared" si="2"/>
        <v>150000</v>
      </c>
      <c r="F60" s="563"/>
      <c r="G60" s="562">
        <f t="shared" si="3"/>
        <v>346500</v>
      </c>
      <c r="H60" s="563"/>
      <c r="J60" s="564">
        <f t="shared" si="7"/>
        <v>70</v>
      </c>
      <c r="K60" s="565"/>
      <c r="L60" s="566">
        <f t="shared" si="4"/>
        <v>680000</v>
      </c>
      <c r="M60" s="566"/>
      <c r="N60" s="567">
        <f t="shared" si="0"/>
        <v>200000</v>
      </c>
      <c r="O60" s="568"/>
      <c r="P60" s="567">
        <f t="shared" si="5"/>
        <v>580000</v>
      </c>
      <c r="Q60" s="568"/>
      <c r="R60" s="235"/>
      <c r="S60" s="235"/>
    </row>
    <row r="61" spans="1:19" ht="16.5" customHeight="1" x14ac:dyDescent="0.3">
      <c r="A61" s="564">
        <f t="shared" si="8"/>
        <v>40</v>
      </c>
      <c r="B61" s="565"/>
      <c r="C61" s="566">
        <f t="shared" si="1"/>
        <v>415000</v>
      </c>
      <c r="D61" s="566"/>
      <c r="E61" s="567">
        <f t="shared" si="2"/>
        <v>150000</v>
      </c>
      <c r="F61" s="568"/>
      <c r="G61" s="567">
        <f t="shared" ref="G61" si="9">100000+(A61-10)*(IF(A61&lt;=$D$24,$O$24,IF(A61&lt;=$D$25,$O$25,IF(A61&lt;=$D$26,$O$26))))</f>
        <v>355000</v>
      </c>
      <c r="H61" s="568"/>
      <c r="J61" s="430">
        <f t="shared" si="7"/>
        <v>71</v>
      </c>
      <c r="K61" s="431"/>
      <c r="L61" s="561">
        <f t="shared" si="4"/>
        <v>688000</v>
      </c>
      <c r="M61" s="561"/>
      <c r="N61" s="562">
        <f t="shared" ref="N61" si="10">IF(J61&lt;=$D$23,$K$23,IF(J61&lt;=$D$24,$K$24,IF(J61&lt;=$D$25,$K$25,IF(J61&lt;=$D$26,$K$26))))</f>
        <v>200000</v>
      </c>
      <c r="O61" s="563"/>
      <c r="P61" s="562">
        <f t="shared" si="5"/>
        <v>588000</v>
      </c>
      <c r="Q61" s="563"/>
      <c r="R61" s="235"/>
      <c r="S61" s="235"/>
    </row>
    <row r="62" spans="1:19" ht="16.5" customHeight="1" x14ac:dyDescent="0.3">
      <c r="A62" s="235"/>
      <c r="B62" s="45"/>
      <c r="C62" s="45"/>
      <c r="D62" s="235"/>
      <c r="E62" s="235"/>
      <c r="N62" s="235"/>
      <c r="O62" s="235"/>
      <c r="P62" s="235"/>
      <c r="Q62" s="235"/>
      <c r="R62" s="235"/>
      <c r="S62" s="235"/>
    </row>
    <row r="63" spans="1:19" ht="16.5" customHeight="1" x14ac:dyDescent="0.3">
      <c r="A63" s="235"/>
      <c r="B63" s="45"/>
      <c r="C63" s="45"/>
      <c r="D63" s="235"/>
      <c r="E63" s="235"/>
      <c r="N63" s="235"/>
      <c r="O63" s="235"/>
      <c r="P63" s="235"/>
      <c r="Q63" s="235"/>
      <c r="R63" s="235"/>
      <c r="S63" s="235"/>
    </row>
    <row r="64" spans="1:19" ht="16.5" customHeight="1" x14ac:dyDescent="0.3">
      <c r="A64" s="235"/>
      <c r="B64" s="45"/>
      <c r="C64" s="45"/>
      <c r="D64" s="235"/>
      <c r="E64" s="235"/>
      <c r="N64" s="235"/>
      <c r="O64" s="235"/>
      <c r="P64" s="235"/>
      <c r="Q64" s="235"/>
      <c r="R64" s="235"/>
      <c r="S64" s="235"/>
    </row>
    <row r="65" ht="16.5" customHeight="1" x14ac:dyDescent="0.3"/>
    <row r="66" ht="16.5" customHeight="1" x14ac:dyDescent="0.3"/>
    <row r="67" ht="16.5" customHeight="1" x14ac:dyDescent="0.3"/>
    <row r="68" ht="16.5" customHeight="1" x14ac:dyDescent="0.3"/>
    <row r="69" ht="16.5" customHeight="1" x14ac:dyDescent="0.3"/>
    <row r="70" ht="16.5" customHeight="1" x14ac:dyDescent="0.3"/>
    <row r="71" ht="16.5" customHeight="1" x14ac:dyDescent="0.3"/>
    <row r="72" ht="16.5" customHeight="1" x14ac:dyDescent="0.3"/>
    <row r="73" ht="16.5" customHeight="1" x14ac:dyDescent="0.3"/>
    <row r="74" ht="16.5" customHeight="1" x14ac:dyDescent="0.3"/>
    <row r="75" ht="16.5" customHeight="1" x14ac:dyDescent="0.3"/>
    <row r="76" ht="16.5" customHeight="1" x14ac:dyDescent="0.3"/>
    <row r="77" ht="16.5" customHeight="1" x14ac:dyDescent="0.3"/>
    <row r="78" ht="16.5" customHeight="1" x14ac:dyDescent="0.3"/>
    <row r="79" ht="16.5" customHeight="1" x14ac:dyDescent="0.3"/>
    <row r="80" ht="16.5" customHeight="1" x14ac:dyDescent="0.3"/>
    <row r="81" ht="16.5" customHeight="1" x14ac:dyDescent="0.3"/>
    <row r="82" ht="16.5" customHeight="1" x14ac:dyDescent="0.3"/>
    <row r="83" ht="16.5" customHeight="1" x14ac:dyDescent="0.3"/>
    <row r="84" ht="16.5" customHeight="1" x14ac:dyDescent="0.3"/>
    <row r="85" ht="16.5" customHeight="1" x14ac:dyDescent="0.3"/>
    <row r="86" ht="16.5" customHeight="1" x14ac:dyDescent="0.3"/>
    <row r="87" ht="16.5" customHeight="1" x14ac:dyDescent="0.3"/>
    <row r="88" ht="16.5" customHeight="1" x14ac:dyDescent="0.3"/>
    <row r="89" ht="16.5" customHeight="1" x14ac:dyDescent="0.3"/>
    <row r="90" ht="16.5" customHeight="1" x14ac:dyDescent="0.3"/>
    <row r="91" ht="16.5" customHeight="1" x14ac:dyDescent="0.3"/>
    <row r="92" ht="16.5" customHeight="1" x14ac:dyDescent="0.3"/>
    <row r="93" ht="16.5" customHeight="1" x14ac:dyDescent="0.3"/>
    <row r="94" ht="16.5" customHeight="1" x14ac:dyDescent="0.3"/>
    <row r="95" ht="16.5" customHeight="1" x14ac:dyDescent="0.3"/>
    <row r="96" ht="16.5" customHeight="1" x14ac:dyDescent="0.3"/>
    <row r="97" ht="16.5" customHeight="1" x14ac:dyDescent="0.3"/>
    <row r="98" ht="16.5" customHeight="1" x14ac:dyDescent="0.3"/>
    <row r="99" ht="16.5" customHeight="1" x14ac:dyDescent="0.3"/>
    <row r="100" ht="16.5" customHeight="1" x14ac:dyDescent="0.3"/>
    <row r="101" ht="16.5" customHeight="1" x14ac:dyDescent="0.3"/>
    <row r="102" ht="16.5" customHeight="1" x14ac:dyDescent="0.3"/>
    <row r="103" ht="16.5" customHeight="1" x14ac:dyDescent="0.3"/>
  </sheetData>
  <mergeCells count="330">
    <mergeCell ref="J61:K61"/>
    <mergeCell ref="L61:M61"/>
    <mergeCell ref="N61:O61"/>
    <mergeCell ref="P61:Q61"/>
    <mergeCell ref="J30:K30"/>
    <mergeCell ref="L30:M30"/>
    <mergeCell ref="N30:O30"/>
    <mergeCell ref="P30:Q30"/>
    <mergeCell ref="J31:K31"/>
    <mergeCell ref="L31:M31"/>
    <mergeCell ref="N31:O31"/>
    <mergeCell ref="P31:Q31"/>
    <mergeCell ref="J32:K32"/>
    <mergeCell ref="L32:M32"/>
    <mergeCell ref="N32:O32"/>
    <mergeCell ref="P32:Q32"/>
    <mergeCell ref="J59:K59"/>
    <mergeCell ref="L59:M59"/>
    <mergeCell ref="N59:O59"/>
    <mergeCell ref="P59:Q59"/>
    <mergeCell ref="J60:K60"/>
    <mergeCell ref="L60:M60"/>
    <mergeCell ref="N60:O60"/>
    <mergeCell ref="P60:Q60"/>
    <mergeCell ref="J57:K57"/>
    <mergeCell ref="L57:M57"/>
    <mergeCell ref="N57:O57"/>
    <mergeCell ref="P57:Q57"/>
    <mergeCell ref="J58:K58"/>
    <mergeCell ref="L58:M58"/>
    <mergeCell ref="N58:O58"/>
    <mergeCell ref="P58:Q58"/>
    <mergeCell ref="J55:K55"/>
    <mergeCell ref="L55:M55"/>
    <mergeCell ref="N55:O55"/>
    <mergeCell ref="P55:Q55"/>
    <mergeCell ref="J56:K56"/>
    <mergeCell ref="L56:M56"/>
    <mergeCell ref="N56:O56"/>
    <mergeCell ref="P56:Q56"/>
    <mergeCell ref="J53:K53"/>
    <mergeCell ref="L53:M53"/>
    <mergeCell ref="N53:O53"/>
    <mergeCell ref="P53:Q53"/>
    <mergeCell ref="J54:K54"/>
    <mergeCell ref="L54:M54"/>
    <mergeCell ref="N54:O54"/>
    <mergeCell ref="P54:Q54"/>
    <mergeCell ref="J51:K51"/>
    <mergeCell ref="L51:M51"/>
    <mergeCell ref="N51:O51"/>
    <mergeCell ref="P51:Q51"/>
    <mergeCell ref="J52:K52"/>
    <mergeCell ref="L52:M52"/>
    <mergeCell ref="N52:O52"/>
    <mergeCell ref="P52:Q52"/>
    <mergeCell ref="J49:K49"/>
    <mergeCell ref="L49:M49"/>
    <mergeCell ref="N49:O49"/>
    <mergeCell ref="P49:Q49"/>
    <mergeCell ref="J50:K50"/>
    <mergeCell ref="L50:M50"/>
    <mergeCell ref="N50:O50"/>
    <mergeCell ref="P50:Q50"/>
    <mergeCell ref="J47:K47"/>
    <mergeCell ref="L47:M47"/>
    <mergeCell ref="N47:O47"/>
    <mergeCell ref="P47:Q47"/>
    <mergeCell ref="J48:K48"/>
    <mergeCell ref="L48:M48"/>
    <mergeCell ref="N48:O48"/>
    <mergeCell ref="P48:Q48"/>
    <mergeCell ref="J45:K45"/>
    <mergeCell ref="L45:M45"/>
    <mergeCell ref="N45:O45"/>
    <mergeCell ref="P45:Q45"/>
    <mergeCell ref="J46:K46"/>
    <mergeCell ref="L46:M46"/>
    <mergeCell ref="N46:O46"/>
    <mergeCell ref="P46:Q46"/>
    <mergeCell ref="J43:K43"/>
    <mergeCell ref="L43:M43"/>
    <mergeCell ref="N43:O43"/>
    <mergeCell ref="P43:Q43"/>
    <mergeCell ref="J44:K44"/>
    <mergeCell ref="L44:M44"/>
    <mergeCell ref="N44:O44"/>
    <mergeCell ref="P44:Q44"/>
    <mergeCell ref="J41:K41"/>
    <mergeCell ref="L41:M41"/>
    <mergeCell ref="N41:O41"/>
    <mergeCell ref="P41:Q41"/>
    <mergeCell ref="J42:K42"/>
    <mergeCell ref="L42:M42"/>
    <mergeCell ref="N42:O42"/>
    <mergeCell ref="P42:Q42"/>
    <mergeCell ref="J39:K39"/>
    <mergeCell ref="L39:M39"/>
    <mergeCell ref="N39:O39"/>
    <mergeCell ref="P39:Q39"/>
    <mergeCell ref="J40:K40"/>
    <mergeCell ref="L40:M40"/>
    <mergeCell ref="N40:O40"/>
    <mergeCell ref="P40:Q40"/>
    <mergeCell ref="J37:K37"/>
    <mergeCell ref="L37:M37"/>
    <mergeCell ref="N37:O37"/>
    <mergeCell ref="P37:Q37"/>
    <mergeCell ref="J38:K38"/>
    <mergeCell ref="L38:M38"/>
    <mergeCell ref="N38:O38"/>
    <mergeCell ref="P38:Q38"/>
    <mergeCell ref="J35:K35"/>
    <mergeCell ref="L35:M35"/>
    <mergeCell ref="N35:O35"/>
    <mergeCell ref="P35:Q35"/>
    <mergeCell ref="J36:K36"/>
    <mergeCell ref="L36:M36"/>
    <mergeCell ref="N36:O36"/>
    <mergeCell ref="P36:Q36"/>
    <mergeCell ref="J33:K33"/>
    <mergeCell ref="L33:M33"/>
    <mergeCell ref="N33:O33"/>
    <mergeCell ref="P33:Q33"/>
    <mergeCell ref="J34:K34"/>
    <mergeCell ref="L34:M34"/>
    <mergeCell ref="N34:O34"/>
    <mergeCell ref="P34:Q34"/>
    <mergeCell ref="A60:B60"/>
    <mergeCell ref="C60:D60"/>
    <mergeCell ref="E60:F60"/>
    <mergeCell ref="G60:H60"/>
    <mergeCell ref="A56:B56"/>
    <mergeCell ref="C56:D56"/>
    <mergeCell ref="E56:F56"/>
    <mergeCell ref="G56:H56"/>
    <mergeCell ref="A57:B57"/>
    <mergeCell ref="C57:D57"/>
    <mergeCell ref="E57:F57"/>
    <mergeCell ref="G57:H57"/>
    <mergeCell ref="A54:B54"/>
    <mergeCell ref="C54:D54"/>
    <mergeCell ref="E54:F54"/>
    <mergeCell ref="G54:H54"/>
    <mergeCell ref="A61:B61"/>
    <mergeCell ref="C61:D61"/>
    <mergeCell ref="E61:F61"/>
    <mergeCell ref="G61:H61"/>
    <mergeCell ref="A58:B58"/>
    <mergeCell ref="C58:D58"/>
    <mergeCell ref="E58:F58"/>
    <mergeCell ref="G58:H58"/>
    <mergeCell ref="A59:B59"/>
    <mergeCell ref="C59:D59"/>
    <mergeCell ref="E59:F59"/>
    <mergeCell ref="G59:H59"/>
    <mergeCell ref="A55:B55"/>
    <mergeCell ref="C55:D55"/>
    <mergeCell ref="E55:F55"/>
    <mergeCell ref="G55:H55"/>
    <mergeCell ref="G52:H52"/>
    <mergeCell ref="A53:B53"/>
    <mergeCell ref="C53:D53"/>
    <mergeCell ref="E53:F53"/>
    <mergeCell ref="G53:H53"/>
    <mergeCell ref="G47:H47"/>
    <mergeCell ref="G48:H48"/>
    <mergeCell ref="G49:H49"/>
    <mergeCell ref="G50:H50"/>
    <mergeCell ref="G51:H51"/>
    <mergeCell ref="A51:B51"/>
    <mergeCell ref="C51:D51"/>
    <mergeCell ref="E51:F51"/>
    <mergeCell ref="A52:B52"/>
    <mergeCell ref="C52:D52"/>
    <mergeCell ref="E52:F52"/>
    <mergeCell ref="A49:B49"/>
    <mergeCell ref="C49:D49"/>
    <mergeCell ref="E49:F49"/>
    <mergeCell ref="A50:B50"/>
    <mergeCell ref="C50:D50"/>
    <mergeCell ref="E50:F50"/>
    <mergeCell ref="A47:B47"/>
    <mergeCell ref="C47:D47"/>
    <mergeCell ref="E47:F47"/>
    <mergeCell ref="A48:B48"/>
    <mergeCell ref="C48:D48"/>
    <mergeCell ref="E48:F48"/>
    <mergeCell ref="A45:B45"/>
    <mergeCell ref="C45:D45"/>
    <mergeCell ref="E45:F45"/>
    <mergeCell ref="G45:H45"/>
    <mergeCell ref="A46:B46"/>
    <mergeCell ref="C46:D46"/>
    <mergeCell ref="E46:F46"/>
    <mergeCell ref="G46:H46"/>
    <mergeCell ref="A43:B43"/>
    <mergeCell ref="C43:D43"/>
    <mergeCell ref="E43:F43"/>
    <mergeCell ref="G43:H43"/>
    <mergeCell ref="A44:B44"/>
    <mergeCell ref="C44:D44"/>
    <mergeCell ref="E44:F44"/>
    <mergeCell ref="G44:H44"/>
    <mergeCell ref="A41:B41"/>
    <mergeCell ref="C41:D41"/>
    <mergeCell ref="E41:F41"/>
    <mergeCell ref="G41:H41"/>
    <mergeCell ref="A42:B42"/>
    <mergeCell ref="C42:D42"/>
    <mergeCell ref="E42:F42"/>
    <mergeCell ref="G42:H42"/>
    <mergeCell ref="A39:B39"/>
    <mergeCell ref="C39:D39"/>
    <mergeCell ref="E39:F39"/>
    <mergeCell ref="G39:H39"/>
    <mergeCell ref="A40:B40"/>
    <mergeCell ref="C40:D40"/>
    <mergeCell ref="E40:F40"/>
    <mergeCell ref="G40:H40"/>
    <mergeCell ref="A37:B37"/>
    <mergeCell ref="C37:D37"/>
    <mergeCell ref="E37:F37"/>
    <mergeCell ref="G37:H37"/>
    <mergeCell ref="A38:B38"/>
    <mergeCell ref="C38:D38"/>
    <mergeCell ref="E38:F38"/>
    <mergeCell ref="G38:H38"/>
    <mergeCell ref="A35:B35"/>
    <mergeCell ref="C35:D35"/>
    <mergeCell ref="E35:F35"/>
    <mergeCell ref="G35:H35"/>
    <mergeCell ref="A36:B36"/>
    <mergeCell ref="C36:D36"/>
    <mergeCell ref="E36:F36"/>
    <mergeCell ref="G36:H36"/>
    <mergeCell ref="A33:B33"/>
    <mergeCell ref="C33:D33"/>
    <mergeCell ref="E33:F33"/>
    <mergeCell ref="G33:H33"/>
    <mergeCell ref="A34:B34"/>
    <mergeCell ref="C34:D34"/>
    <mergeCell ref="E34:F34"/>
    <mergeCell ref="G34:H34"/>
    <mergeCell ref="A31:B31"/>
    <mergeCell ref="C31:D31"/>
    <mergeCell ref="E31:F31"/>
    <mergeCell ref="G31:H31"/>
    <mergeCell ref="A32:B32"/>
    <mergeCell ref="C32:D32"/>
    <mergeCell ref="E32:F32"/>
    <mergeCell ref="G32:H32"/>
    <mergeCell ref="A29:S29"/>
    <mergeCell ref="A30:B30"/>
    <mergeCell ref="C30:D30"/>
    <mergeCell ref="E30:F30"/>
    <mergeCell ref="G30:H30"/>
    <mergeCell ref="O23:S23"/>
    <mergeCell ref="O24:S24"/>
    <mergeCell ref="O25:S25"/>
    <mergeCell ref="O26:S26"/>
    <mergeCell ref="O27:S27"/>
    <mergeCell ref="G25:J25"/>
    <mergeCell ref="G26:J26"/>
    <mergeCell ref="G27:J27"/>
    <mergeCell ref="K23:N23"/>
    <mergeCell ref="K24:N24"/>
    <mergeCell ref="K25:N25"/>
    <mergeCell ref="K26:N26"/>
    <mergeCell ref="K27:N27"/>
    <mergeCell ref="B26:C26"/>
    <mergeCell ref="E26:F26"/>
    <mergeCell ref="A27:F27"/>
    <mergeCell ref="G23:J23"/>
    <mergeCell ref="G24:J24"/>
    <mergeCell ref="B24:C24"/>
    <mergeCell ref="E24:F24"/>
    <mergeCell ref="B25:C25"/>
    <mergeCell ref="E25:F25"/>
    <mergeCell ref="E23:F23"/>
    <mergeCell ref="A22:F22"/>
    <mergeCell ref="B23:C23"/>
    <mergeCell ref="J19:N19"/>
    <mergeCell ref="O19:S19"/>
    <mergeCell ref="O15:S15"/>
    <mergeCell ref="J16:N16"/>
    <mergeCell ref="O16:S16"/>
    <mergeCell ref="J17:N17"/>
    <mergeCell ref="O17:S17"/>
    <mergeCell ref="G22:J22"/>
    <mergeCell ref="K22:N22"/>
    <mergeCell ref="A19:D19"/>
    <mergeCell ref="E17:I17"/>
    <mergeCell ref="E18:I18"/>
    <mergeCell ref="E19:I19"/>
    <mergeCell ref="E16:I16"/>
    <mergeCell ref="O22:S22"/>
    <mergeCell ref="A13:D13"/>
    <mergeCell ref="A14:D14"/>
    <mergeCell ref="A15:D15"/>
    <mergeCell ref="E9:I9"/>
    <mergeCell ref="E10:I10"/>
    <mergeCell ref="E12:I12"/>
    <mergeCell ref="E13:I13"/>
    <mergeCell ref="E14:I14"/>
    <mergeCell ref="E15:I15"/>
    <mergeCell ref="A5:S6"/>
    <mergeCell ref="A11:D11"/>
    <mergeCell ref="E11:I11"/>
    <mergeCell ref="J10:N10"/>
    <mergeCell ref="A10:D10"/>
    <mergeCell ref="A9:D9"/>
    <mergeCell ref="A16:D16"/>
    <mergeCell ref="A17:D17"/>
    <mergeCell ref="A18:D18"/>
    <mergeCell ref="J12:N12"/>
    <mergeCell ref="J15:N15"/>
    <mergeCell ref="O12:S12"/>
    <mergeCell ref="J13:N13"/>
    <mergeCell ref="O13:S13"/>
    <mergeCell ref="J14:N14"/>
    <mergeCell ref="O14:S14"/>
    <mergeCell ref="O10:S10"/>
    <mergeCell ref="O9:S9"/>
    <mergeCell ref="J9:N9"/>
    <mergeCell ref="J11:N11"/>
    <mergeCell ref="O11:S11"/>
    <mergeCell ref="J18:N18"/>
    <mergeCell ref="O18:S18"/>
    <mergeCell ref="A12:D12"/>
  </mergeCells>
  <phoneticPr fontId="13" type="noConversion"/>
  <pageMargins left="0.7" right="0.7" top="0.75" bottom="0.75" header="0.3" footer="0.3"/>
  <pageSetup paperSize="9" scale="84" orientation="portrait" r:id="rId1"/>
  <rowBreaks count="1" manualBreakCount="1">
    <brk id="28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7</vt:i4>
      </vt:variant>
    </vt:vector>
  </HeadingPairs>
  <TitlesOfParts>
    <vt:vector size="17" baseType="lpstr">
      <vt:lpstr>자문사 명단</vt:lpstr>
      <vt:lpstr>세금계산서 구분</vt:lpstr>
      <vt:lpstr>계약조건 변경</vt:lpstr>
      <vt:lpstr>2021</vt:lpstr>
      <vt:lpstr>2020 New</vt:lpstr>
      <vt:lpstr>2020</vt:lpstr>
      <vt:lpstr>2019</vt:lpstr>
      <vt:lpstr>2018</vt:lpstr>
      <vt:lpstr>2017</vt:lpstr>
      <vt:lpstr>계약조건</vt:lpstr>
      <vt:lpstr>'2019'!Print_Area</vt:lpstr>
      <vt:lpstr>'2020'!Print_Area</vt:lpstr>
      <vt:lpstr>'2020 New'!Print_Area</vt:lpstr>
      <vt:lpstr>'2021'!Print_Area</vt:lpstr>
      <vt:lpstr>계약조건!Print_Area</vt:lpstr>
      <vt:lpstr>'계약조건 변경'!Print_Area</vt:lpstr>
      <vt:lpstr>'세금계산서 구분'!Print_Area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노무법인 화랑 컨설팅(02-6104-7010)</cp:lastModifiedBy>
  <cp:lastPrinted>2021-05-18T00:26:38Z</cp:lastPrinted>
  <dcterms:created xsi:type="dcterms:W3CDTF">2017-06-28T03:39:58Z</dcterms:created>
  <dcterms:modified xsi:type="dcterms:W3CDTF">2021-05-18T00:27:10Z</dcterms:modified>
</cp:coreProperties>
</file>